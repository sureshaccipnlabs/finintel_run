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FinIntel\TimeSheets\"/>
    </mc:Choice>
  </mc:AlternateContent>
  <xr:revisionPtr revIDLastSave="0" documentId="13_ncr:1_{DA608EE7-7A54-4DCC-A456-625785DDF3DE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3" l="1"/>
  <c r="E27" i="23"/>
  <c r="E28" i="23"/>
  <c r="E29" i="23"/>
  <c r="E30" i="23"/>
  <c r="D11" i="23"/>
  <c r="D12" i="23"/>
  <c r="D13" i="23"/>
  <c r="D14" i="23"/>
  <c r="B60" i="23"/>
  <c r="C59" i="23"/>
  <c r="C58" i="23"/>
  <c r="B53" i="23"/>
  <c r="C52" i="23"/>
  <c r="C51" i="23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Y26" i="23"/>
  <c r="G26" i="23"/>
  <c r="F26" i="23" s="1"/>
  <c r="E26" i="23"/>
  <c r="D26" i="23" s="1"/>
  <c r="Y25" i="23"/>
  <c r="G25" i="23"/>
  <c r="F25" i="23" s="1"/>
  <c r="E25" i="23"/>
  <c r="D25" i="23" s="1"/>
  <c r="Y24" i="23"/>
  <c r="G24" i="23"/>
  <c r="F24" i="23" s="1"/>
  <c r="E24" i="23"/>
  <c r="D24" i="23" s="1"/>
  <c r="Y23" i="23"/>
  <c r="G23" i="23"/>
  <c r="F23" i="23"/>
  <c r="E23" i="23"/>
  <c r="D23" i="23"/>
  <c r="Y22" i="23"/>
  <c r="G22" i="23"/>
  <c r="F22" i="23" s="1"/>
  <c r="E22" i="23"/>
  <c r="D22" i="23" s="1"/>
  <c r="Y21" i="23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 s="1"/>
  <c r="E7" i="23"/>
  <c r="D7" i="23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53" i="23" l="1"/>
  <c r="B37" i="23"/>
  <c r="D37" i="23" s="1"/>
  <c r="D42" i="23"/>
  <c r="C39" i="23"/>
  <c r="C42" i="23"/>
  <c r="F32" i="23"/>
  <c r="C38" i="23"/>
  <c r="B38" i="23"/>
  <c r="D38" i="23" s="1"/>
  <c r="B40" i="23"/>
  <c r="D40" i="23" s="1"/>
  <c r="F10" i="23"/>
  <c r="F16" i="23" s="1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X19" i="23"/>
  <c r="X20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<sst xmlns="http://schemas.openxmlformats.org/spreadsheetml/2006/main" count="1818" uniqueCount="48">
  <si>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</si>
  <si>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</si>
  <si>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</si>
  <si>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</si>
  <si>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</si>
  <si>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</si>
  <si>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</si>
  <si>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</si>
  <si>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</si>
  <si>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</si>
  <si>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</si>
  <si>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</si>
  <si>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</si>
  <si>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</si>
  <si>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</si>
  <si>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</si>
  <si>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</si>
  <si>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</si>
  <si>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</si>
  <si>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</si>
  <si>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</si>
  <si>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</si>
  <si>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</si>
  <si>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</si>
  <si>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</si>
  <si>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</si>
  <si>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</si>
  <si>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</si>
  <si>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</si>
  <si>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</si>
  <si>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</si>
  <si>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</si>
  <si>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</si>
  <si>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</si>
  <si>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</si>
  <si>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</si>
  <si>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</si>
  <si>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</si>
  <si>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</si>
  <si>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Mathew</t>
  </si>
  <si>
    <t>Frank</t>
  </si>
  <si>
    <t>John</t>
  </si>
  <si>
    <t>Priyanka</t>
  </si>
  <si>
    <t>Benjamin</t>
  </si>
  <si>
    <t>Scott</t>
  </si>
  <si>
    <t>FinIntel</t>
  </si>
  <si>
    <t>Hongwei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</si>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</sst>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1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b/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167" fontId="30" fillId="0" borderId="8" xfId="0" applyNumberFormat="1" applyFont="1" applyBorder="1" applyAlignment="1">
      <alignment horizontal="center" vertical="center"/>
    </xf>
    <xf numFmtId="167" fontId="27" fillId="6" borderId="7" xfId="0" applyNumberFormat="1" applyFont="1" applyFill="1" applyBorder="1" applyAlignment="1">
      <alignment horizontal="left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5" t="s">
        <v>1</v>
      </c>
      <c r="B3" s="255" t="s">
        <v>2</v>
      </c>
      <c r="C3" s="255" t="s">
        <v>3</v>
      </c>
      <c r="D3" s="255" t="s">
        <v>4</v>
      </c>
      <c r="E3" s="260" t="s">
        <v>5</v>
      </c>
      <c r="F3" s="261"/>
      <c r="G3" s="261"/>
      <c r="H3" s="262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5" t="s">
        <v>6</v>
      </c>
      <c r="Y3" s="255" t="s">
        <v>7</v>
      </c>
      <c r="Z3" s="120"/>
      <c r="AA3" s="114"/>
      <c r="AB3" s="114"/>
    </row>
    <row r="4" spans="1:35" ht="27" customHeight="1">
      <c r="A4" s="256"/>
      <c r="B4" s="256"/>
      <c r="C4" s="256"/>
      <c r="D4" s="256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6"/>
      <c r="Y4" s="256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5" t="s">
        <v>1</v>
      </c>
      <c r="B18" s="255" t="s">
        <v>2</v>
      </c>
      <c r="C18" s="255" t="s">
        <v>3</v>
      </c>
      <c r="D18" s="255" t="s">
        <v>4</v>
      </c>
      <c r="E18" s="260" t="s">
        <v>5</v>
      </c>
      <c r="F18" s="261"/>
      <c r="G18" s="261"/>
      <c r="H18" s="262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5" t="s">
        <v>6</v>
      </c>
      <c r="Z18" s="255" t="s">
        <v>7</v>
      </c>
      <c r="AA18" s="120"/>
      <c r="AB18" s="114"/>
    </row>
    <row r="19" spans="1:29" ht="26.25" customHeight="1">
      <c r="A19" s="256"/>
      <c r="B19" s="256"/>
      <c r="C19" s="256"/>
      <c r="D19" s="256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6"/>
      <c r="Z19" s="256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5" t="s">
        <v>5</v>
      </c>
      <c r="F3" s="264"/>
      <c r="G3" s="264"/>
      <c r="H3" s="264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3" t="s">
        <v>6</v>
      </c>
      <c r="Y3" s="263" t="s">
        <v>7</v>
      </c>
      <c r="Z3" s="209"/>
      <c r="AA3" s="114"/>
      <c r="AB3" s="114"/>
    </row>
    <row r="4" spans="1:35" ht="27" customHeight="1">
      <c r="A4" s="264"/>
      <c r="B4" s="264"/>
      <c r="C4" s="264"/>
      <c r="D4" s="26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4"/>
      <c r="Y4" s="26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3" t="s">
        <v>1</v>
      </c>
      <c r="B18" s="263" t="s">
        <v>2</v>
      </c>
      <c r="C18" s="263" t="s">
        <v>3</v>
      </c>
      <c r="D18" s="263" t="s">
        <v>4</v>
      </c>
      <c r="E18" s="265" t="s">
        <v>5</v>
      </c>
      <c r="F18" s="264"/>
      <c r="G18" s="264"/>
      <c r="H18" s="264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3" t="s">
        <v>6</v>
      </c>
      <c r="Z18" s="263" t="s">
        <v>7</v>
      </c>
      <c r="AA18" s="209"/>
      <c r="AB18" s="114"/>
    </row>
    <row r="19" spans="1:29" ht="26.25" customHeight="1">
      <c r="A19" s="264"/>
      <c r="B19" s="264"/>
      <c r="C19" s="264"/>
      <c r="D19" s="26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4"/>
      <c r="Z19" s="26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5" t="s">
        <v>5</v>
      </c>
      <c r="F3" s="264"/>
      <c r="G3" s="264"/>
      <c r="H3" s="264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3" t="s">
        <v>6</v>
      </c>
      <c r="Y3" s="263" t="s">
        <v>7</v>
      </c>
      <c r="Z3" s="209"/>
      <c r="AA3" s="114"/>
      <c r="AB3" s="114"/>
    </row>
    <row r="4" spans="1:35" ht="27" customHeight="1">
      <c r="A4" s="264"/>
      <c r="B4" s="264"/>
      <c r="C4" s="264"/>
      <c r="D4" s="26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4"/>
      <c r="Y4" s="26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3" t="s">
        <v>1</v>
      </c>
      <c r="B18" s="263" t="s">
        <v>2</v>
      </c>
      <c r="C18" s="263" t="s">
        <v>3</v>
      </c>
      <c r="D18" s="263" t="s">
        <v>4</v>
      </c>
      <c r="E18" s="265" t="s">
        <v>5</v>
      </c>
      <c r="F18" s="264"/>
      <c r="G18" s="264"/>
      <c r="H18" s="264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3" t="s">
        <v>6</v>
      </c>
      <c r="Z18" s="263" t="s">
        <v>7</v>
      </c>
      <c r="AA18" s="209"/>
      <c r="AB18" s="114"/>
    </row>
    <row r="19" spans="1:29" ht="26.25" customHeight="1">
      <c r="A19" s="264"/>
      <c r="B19" s="264"/>
      <c r="C19" s="264"/>
      <c r="D19" s="26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4"/>
      <c r="Z19" s="26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5" t="s">
        <v>5</v>
      </c>
      <c r="F3" s="264"/>
      <c r="G3" s="264"/>
      <c r="H3" s="264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3" t="s">
        <v>6</v>
      </c>
      <c r="Y3" s="263" t="s">
        <v>7</v>
      </c>
      <c r="Z3" s="209"/>
      <c r="AA3" s="114"/>
      <c r="AB3" s="114"/>
    </row>
    <row r="4" spans="1:35" ht="27" customHeight="1">
      <c r="A4" s="264"/>
      <c r="B4" s="264"/>
      <c r="C4" s="264"/>
      <c r="D4" s="26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4"/>
      <c r="Y4" s="26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3" t="s">
        <v>1</v>
      </c>
      <c r="B18" s="263" t="s">
        <v>2</v>
      </c>
      <c r="C18" s="263" t="s">
        <v>3</v>
      </c>
      <c r="D18" s="263" t="s">
        <v>4</v>
      </c>
      <c r="E18" s="265" t="s">
        <v>5</v>
      </c>
      <c r="F18" s="264"/>
      <c r="G18" s="264"/>
      <c r="H18" s="264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3" t="s">
        <v>6</v>
      </c>
      <c r="Z18" s="263" t="s">
        <v>7</v>
      </c>
      <c r="AA18" s="209"/>
      <c r="AB18" s="114"/>
    </row>
    <row r="19" spans="1:29" ht="26.25" customHeight="1">
      <c r="A19" s="264"/>
      <c r="B19" s="264"/>
      <c r="C19" s="264"/>
      <c r="D19" s="26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4"/>
      <c r="Z19" s="26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topLeftCell="A21" workbookViewId="0">
      <pane xSplit="2" topLeftCell="C1" activePane="topRight" state="frozen"/>
      <selection pane="topRight" activeCell="J40" sqref="J4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3" t="s">
        <v>1</v>
      </c>
      <c r="B3" s="263" t="s">
        <v>2</v>
      </c>
      <c r="C3" s="263" t="s">
        <v>3</v>
      </c>
      <c r="D3" s="263" t="s">
        <v>4</v>
      </c>
      <c r="E3" s="265" t="s">
        <v>5</v>
      </c>
      <c r="F3" s="264"/>
      <c r="G3" s="264"/>
      <c r="H3" s="264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63" t="s">
        <v>6</v>
      </c>
      <c r="Y3" s="263" t="s">
        <v>7</v>
      </c>
      <c r="Z3" s="209"/>
      <c r="AA3" s="210"/>
      <c r="AB3" s="114"/>
    </row>
    <row r="4" spans="1:33" ht="27" customHeight="1" thickBot="1">
      <c r="A4" s="264"/>
      <c r="B4" s="264"/>
      <c r="C4" s="264"/>
      <c r="D4" s="26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4"/>
      <c r="Y4" s="26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39</v>
      </c>
      <c r="B5" s="132" t="s">
        <v>45</v>
      </c>
      <c r="C5" s="133">
        <v>43437</v>
      </c>
      <c r="D5" s="134">
        <f t="shared" ref="D5:D14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47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47</v>
      </c>
      <c r="P5" s="245" t="s">
        <v>47</v>
      </c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40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47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47</v>
      </c>
      <c r="P6" s="245" t="s">
        <v>47</v>
      </c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41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47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47</v>
      </c>
      <c r="P7" s="245" t="s">
        <v>47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47</v>
      </c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 t="s">
        <v>47</v>
      </c>
      <c r="P8" s="245" t="s">
        <v>47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47</v>
      </c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5" t="s">
        <v>47</v>
      </c>
      <c r="P9" s="245" t="s">
        <v>47</v>
      </c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245" t="s">
        <v>47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47</v>
      </c>
      <c r="P10" s="245" t="s">
        <v>47</v>
      </c>
      <c r="Q10" s="241">
        <v>8</v>
      </c>
      <c r="R10" s="241">
        <v>8</v>
      </c>
      <c r="S10" s="241">
        <v>8</v>
      </c>
      <c r="T10" s="237"/>
      <c r="U10" s="237"/>
      <c r="V10" s="245"/>
      <c r="W10" s="245"/>
      <c r="X10" s="134">
        <v>2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45</v>
      </c>
      <c r="C11" s="140"/>
      <c r="D11" s="134">
        <f t="shared" si="2"/>
        <v>0</v>
      </c>
      <c r="E11" s="140"/>
      <c r="F11" s="140"/>
      <c r="G11" s="140"/>
      <c r="H11" s="140"/>
      <c r="I11" s="245" t="s">
        <v>47</v>
      </c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9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45</v>
      </c>
      <c r="C12" s="140"/>
      <c r="D12" s="134">
        <f t="shared" si="2"/>
        <v>0</v>
      </c>
      <c r="E12" s="140"/>
      <c r="F12" s="140"/>
      <c r="G12" s="140"/>
      <c r="H12" s="140"/>
      <c r="I12" s="245" t="s">
        <v>47</v>
      </c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9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45</v>
      </c>
      <c r="C13" s="140"/>
      <c r="D13" s="134">
        <f t="shared" si="2"/>
        <v>0</v>
      </c>
      <c r="E13" s="140"/>
      <c r="F13" s="140"/>
      <c r="G13" s="140"/>
      <c r="H13" s="140"/>
      <c r="I13" s="245" t="s">
        <v>47</v>
      </c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9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45</v>
      </c>
      <c r="C14" s="140"/>
      <c r="D14" s="134">
        <f t="shared" si="2"/>
        <v>0</v>
      </c>
      <c r="E14" s="140"/>
      <c r="F14" s="140"/>
      <c r="G14" s="140"/>
      <c r="H14" s="140"/>
      <c r="I14" s="245" t="s">
        <v>47</v>
      </c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9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46</v>
      </c>
      <c r="B15" s="132" t="s">
        <v>45</v>
      </c>
      <c r="C15" s="138">
        <v>45628</v>
      </c>
      <c r="D15" s="134">
        <v>80</v>
      </c>
      <c r="E15" s="253">
        <v>80</v>
      </c>
      <c r="F15" s="253">
        <v>64</v>
      </c>
      <c r="G15" s="253">
        <v>64</v>
      </c>
      <c r="H15" s="140">
        <v>0</v>
      </c>
      <c r="I15" s="245" t="s">
        <v>47</v>
      </c>
      <c r="J15" s="140">
        <v>8</v>
      </c>
      <c r="K15" s="140">
        <v>8</v>
      </c>
      <c r="L15" s="140">
        <v>8</v>
      </c>
      <c r="M15" s="140">
        <v>8</v>
      </c>
      <c r="N15" s="237"/>
      <c r="O15" s="245" t="s">
        <v>47</v>
      </c>
      <c r="P15" s="245" t="s">
        <v>47</v>
      </c>
      <c r="Q15" s="140">
        <v>8</v>
      </c>
      <c r="R15" s="140">
        <v>8</v>
      </c>
      <c r="S15" s="140">
        <v>8</v>
      </c>
      <c r="T15" s="140">
        <v>8</v>
      </c>
      <c r="U15" s="237"/>
      <c r="V15" s="140"/>
      <c r="W15" s="140"/>
      <c r="X15" s="134">
        <v>2</v>
      </c>
      <c r="Y15" s="135"/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SUM(D5:D14)</f>
        <v>480</v>
      </c>
      <c r="E16" s="224">
        <f t="shared" si="8"/>
        <v>480</v>
      </c>
      <c r="F16" s="224">
        <f t="shared" si="8"/>
        <v>464</v>
      </c>
      <c r="G16" s="224">
        <f t="shared" si="8"/>
        <v>464</v>
      </c>
      <c r="H16" s="224">
        <f t="shared" si="8"/>
        <v>0</v>
      </c>
      <c r="I16" s="224">
        <f t="shared" si="8"/>
        <v>0</v>
      </c>
      <c r="J16" s="224">
        <f t="shared" si="8"/>
        <v>48</v>
      </c>
      <c r="K16" s="224">
        <f t="shared" si="8"/>
        <v>48</v>
      </c>
      <c r="L16" s="224">
        <f t="shared" si="8"/>
        <v>48</v>
      </c>
      <c r="M16" s="224">
        <f t="shared" si="8"/>
        <v>48</v>
      </c>
      <c r="N16" s="224">
        <f t="shared" si="8"/>
        <v>48</v>
      </c>
      <c r="O16" s="224">
        <f t="shared" si="8"/>
        <v>0</v>
      </c>
      <c r="P16" s="224">
        <f t="shared" si="8"/>
        <v>0</v>
      </c>
      <c r="Q16" s="224">
        <f t="shared" si="8"/>
        <v>48</v>
      </c>
      <c r="R16" s="224">
        <f t="shared" si="8"/>
        <v>48</v>
      </c>
      <c r="S16" s="224">
        <f t="shared" si="8"/>
        <v>48</v>
      </c>
      <c r="T16" s="224">
        <f t="shared" si="8"/>
        <v>40</v>
      </c>
      <c r="U16" s="224">
        <f t="shared" si="8"/>
        <v>40</v>
      </c>
      <c r="V16" s="224">
        <f t="shared" si="8"/>
        <v>0</v>
      </c>
      <c r="W16" s="224">
        <f t="shared" si="8"/>
        <v>0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5" t="s">
        <v>5</v>
      </c>
      <c r="F19" s="264"/>
      <c r="G19" s="264"/>
      <c r="H19" s="264"/>
      <c r="I19" s="141">
        <f>W3+1</f>
        <v>46097</v>
      </c>
      <c r="J19" s="141">
        <f t="shared" ref="J19:U19" si="9">I19+1</f>
        <v>46098</v>
      </c>
      <c r="K19" s="141">
        <f t="shared" si="9"/>
        <v>46099</v>
      </c>
      <c r="L19" s="141">
        <f t="shared" si="9"/>
        <v>46100</v>
      </c>
      <c r="M19" s="141">
        <f t="shared" si="9"/>
        <v>46101</v>
      </c>
      <c r="N19" s="141">
        <f t="shared" si="9"/>
        <v>46102</v>
      </c>
      <c r="O19" s="141">
        <f t="shared" si="9"/>
        <v>46103</v>
      </c>
      <c r="P19" s="141">
        <f t="shared" si="9"/>
        <v>46104</v>
      </c>
      <c r="Q19" s="141">
        <f t="shared" si="9"/>
        <v>46105</v>
      </c>
      <c r="R19" s="141">
        <f t="shared" si="9"/>
        <v>46106</v>
      </c>
      <c r="S19" s="141">
        <f t="shared" si="9"/>
        <v>46107</v>
      </c>
      <c r="T19" s="141">
        <f t="shared" si="9"/>
        <v>46108</v>
      </c>
      <c r="U19" s="141">
        <f t="shared" si="9"/>
        <v>46109</v>
      </c>
      <c r="V19" s="141">
        <f t="shared" ref="V19" si="10">U19+1</f>
        <v>46110</v>
      </c>
      <c r="W19" s="141">
        <f t="shared" ref="W19" si="11">V19+1</f>
        <v>46111</v>
      </c>
      <c r="X19" s="141">
        <f t="shared" ref="X19" si="12">W19+1</f>
        <v>46112</v>
      </c>
      <c r="Y19" s="263" t="s">
        <v>6</v>
      </c>
      <c r="Z19" s="263" t="s">
        <v>7</v>
      </c>
      <c r="AA19" s="209"/>
      <c r="AB19" s="114"/>
    </row>
    <row r="20" spans="1:35" ht="26.25" customHeight="1">
      <c r="A20" s="264"/>
      <c r="B20" s="264"/>
      <c r="C20" s="264"/>
      <c r="D20" s="264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3">IF(I19="","",TEXT(WEEKDAY(I19), "ddd"))</f>
        <v>Mon</v>
      </c>
      <c r="J20" s="222" t="str">
        <f t="shared" si="13"/>
        <v>Tue</v>
      </c>
      <c r="K20" s="222" t="str">
        <f t="shared" si="13"/>
        <v>Wed</v>
      </c>
      <c r="L20" s="222" t="str">
        <f t="shared" si="13"/>
        <v>Thu</v>
      </c>
      <c r="M20" s="222" t="str">
        <f t="shared" si="13"/>
        <v>Fri</v>
      </c>
      <c r="N20" s="222" t="str">
        <f t="shared" si="13"/>
        <v>Sat</v>
      </c>
      <c r="O20" s="222" t="str">
        <f t="shared" si="13"/>
        <v>Sun</v>
      </c>
      <c r="P20" s="127" t="str">
        <f t="shared" si="13"/>
        <v>Mon</v>
      </c>
      <c r="Q20" s="127" t="str">
        <f t="shared" si="13"/>
        <v>Tue</v>
      </c>
      <c r="R20" s="222" t="str">
        <f t="shared" si="13"/>
        <v>Wed</v>
      </c>
      <c r="S20" s="222" t="str">
        <f t="shared" si="13"/>
        <v>Thu</v>
      </c>
      <c r="T20" s="222" t="str">
        <f t="shared" si="13"/>
        <v>Fri</v>
      </c>
      <c r="U20" s="222" t="str">
        <f t="shared" si="13"/>
        <v>Sat</v>
      </c>
      <c r="V20" s="222" t="str">
        <f t="shared" ref="V20:X20" si="14">IF(V19="","",TEXT(WEEKDAY(V19), "ddd"))</f>
        <v>Sun</v>
      </c>
      <c r="W20" s="222" t="str">
        <f t="shared" si="14"/>
        <v>Mon</v>
      </c>
      <c r="X20" s="222" t="str">
        <f t="shared" si="14"/>
        <v>Tue</v>
      </c>
      <c r="Y20" s="264"/>
      <c r="Z20" s="264"/>
      <c r="AA20" s="209"/>
      <c r="AB20" s="114"/>
    </row>
    <row r="21" spans="1:35" ht="12.75" customHeight="1">
      <c r="A21" s="131" t="s">
        <v>39</v>
      </c>
      <c r="B21" s="132" t="s">
        <v>45</v>
      </c>
      <c r="C21" s="133">
        <v>43437</v>
      </c>
      <c r="D21" s="134">
        <f t="shared" ref="D21:D26" si="15">E21</f>
        <v>96</v>
      </c>
      <c r="E21" s="134">
        <f t="shared" ref="E21:E30" si="16">Z21*8</f>
        <v>96</v>
      </c>
      <c r="F21" s="134">
        <f t="shared" ref="F21:F26" si="17">G21+H21</f>
        <v>96</v>
      </c>
      <c r="G21" s="134">
        <f t="shared" ref="G21:G26" si="18">SUM(I21:X21)</f>
        <v>96</v>
      </c>
      <c r="H21" s="135">
        <v>0</v>
      </c>
      <c r="I21" s="180">
        <v>8</v>
      </c>
      <c r="J21" s="183">
        <v>8</v>
      </c>
      <c r="K21" s="180">
        <v>8</v>
      </c>
      <c r="L21" s="180">
        <v>8</v>
      </c>
      <c r="M21" s="180">
        <v>8</v>
      </c>
      <c r="N21" s="246"/>
      <c r="O21" s="246"/>
      <c r="P21" s="180">
        <v>8</v>
      </c>
      <c r="Q21" s="183">
        <v>8</v>
      </c>
      <c r="R21" s="180">
        <v>8</v>
      </c>
      <c r="S21" s="183">
        <v>8</v>
      </c>
      <c r="T21" s="180">
        <v>8</v>
      </c>
      <c r="U21" s="246"/>
      <c r="V21" s="245"/>
      <c r="W21" s="183">
        <v>8</v>
      </c>
      <c r="X21" s="180">
        <v>8</v>
      </c>
      <c r="Y21" s="134">
        <f t="shared" ref="Y21:Y26" si="19">Z21-COUNTA(I21:X21)</f>
        <v>0</v>
      </c>
      <c r="Z21" s="136">
        <v>12</v>
      </c>
      <c r="AA21" s="209"/>
      <c r="AB21" s="114"/>
    </row>
    <row r="22" spans="1:35" ht="12.75" customHeight="1">
      <c r="A22" s="131" t="s">
        <v>40</v>
      </c>
      <c r="B22" s="132" t="s">
        <v>45</v>
      </c>
      <c r="C22" s="133">
        <v>45028</v>
      </c>
      <c r="D22" s="134">
        <f t="shared" si="15"/>
        <v>96</v>
      </c>
      <c r="E22" s="134">
        <f t="shared" si="16"/>
        <v>96</v>
      </c>
      <c r="F22" s="134">
        <f t="shared" si="17"/>
        <v>88</v>
      </c>
      <c r="G22" s="134">
        <f t="shared" si="18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6"/>
      <c r="O22" s="245"/>
      <c r="P22" s="186"/>
      <c r="Q22" s="180">
        <v>8</v>
      </c>
      <c r="R22" s="183">
        <v>8</v>
      </c>
      <c r="S22" s="180">
        <v>8</v>
      </c>
      <c r="T22" s="180">
        <v>8</v>
      </c>
      <c r="U22" s="246"/>
      <c r="V22" s="245"/>
      <c r="W22" s="180">
        <v>8</v>
      </c>
      <c r="X22" s="180">
        <v>8</v>
      </c>
      <c r="Y22" s="134">
        <f t="shared" si="19"/>
        <v>1</v>
      </c>
      <c r="Z22" s="136">
        <v>12</v>
      </c>
      <c r="AA22" s="209"/>
      <c r="AB22" s="114"/>
    </row>
    <row r="23" spans="1:35" ht="12.75" customHeight="1">
      <c r="A23" s="131" t="s">
        <v>41</v>
      </c>
      <c r="B23" s="132" t="s">
        <v>45</v>
      </c>
      <c r="C23" s="133">
        <v>43395</v>
      </c>
      <c r="D23" s="134">
        <f t="shared" si="15"/>
        <v>96</v>
      </c>
      <c r="E23" s="134">
        <f t="shared" si="16"/>
        <v>96</v>
      </c>
      <c r="F23" s="134">
        <f t="shared" si="17"/>
        <v>96</v>
      </c>
      <c r="G23" s="134">
        <f t="shared" si="18"/>
        <v>96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6"/>
      <c r="O23" s="246"/>
      <c r="P23" s="180">
        <v>8</v>
      </c>
      <c r="Q23" s="180">
        <v>8</v>
      </c>
      <c r="R23" s="180">
        <v>8</v>
      </c>
      <c r="S23" s="180">
        <v>8</v>
      </c>
      <c r="T23" s="180">
        <v>8</v>
      </c>
      <c r="U23" s="246"/>
      <c r="V23" s="246"/>
      <c r="W23" s="180">
        <v>8</v>
      </c>
      <c r="X23" s="180">
        <v>8</v>
      </c>
      <c r="Y23" s="134">
        <f t="shared" si="19"/>
        <v>0</v>
      </c>
      <c r="Z23" s="136">
        <v>12</v>
      </c>
      <c r="AA23" s="209"/>
      <c r="AB23" s="114"/>
    </row>
    <row r="24" spans="1:35" ht="12.75" customHeight="1">
      <c r="A24" s="131" t="s">
        <v>42</v>
      </c>
      <c r="B24" s="132" t="s">
        <v>45</v>
      </c>
      <c r="C24" s="138">
        <v>43741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246"/>
      <c r="O24" s="245"/>
      <c r="P24" s="183">
        <v>8</v>
      </c>
      <c r="Q24" s="180">
        <v>8</v>
      </c>
      <c r="R24" s="183">
        <v>8</v>
      </c>
      <c r="S24" s="180">
        <v>8</v>
      </c>
      <c r="T24" s="186"/>
      <c r="U24" s="246"/>
      <c r="V24" s="245"/>
      <c r="W24" s="183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35" ht="12.75" customHeight="1">
      <c r="A25" s="139" t="s">
        <v>43</v>
      </c>
      <c r="B25" s="132" t="s">
        <v>45</v>
      </c>
      <c r="C25" s="138">
        <v>43731</v>
      </c>
      <c r="D25" s="134">
        <f t="shared" si="15"/>
        <v>96</v>
      </c>
      <c r="E25" s="134">
        <f t="shared" si="16"/>
        <v>96</v>
      </c>
      <c r="F25" s="134">
        <f t="shared" si="17"/>
        <v>88</v>
      </c>
      <c r="G25" s="134">
        <f t="shared" si="18"/>
        <v>88</v>
      </c>
      <c r="H25" s="135">
        <v>0</v>
      </c>
      <c r="I25" s="180">
        <v>8</v>
      </c>
      <c r="J25" s="180">
        <v>8</v>
      </c>
      <c r="K25" s="180">
        <v>8</v>
      </c>
      <c r="L25" s="237"/>
      <c r="M25" s="180">
        <v>8</v>
      </c>
      <c r="N25" s="246"/>
      <c r="O25" s="246"/>
      <c r="P25" s="183">
        <v>8</v>
      </c>
      <c r="Q25" s="180">
        <v>8</v>
      </c>
      <c r="R25" s="180">
        <v>8</v>
      </c>
      <c r="S25" s="180">
        <v>8</v>
      </c>
      <c r="T25" s="180">
        <v>8</v>
      </c>
      <c r="U25" s="246"/>
      <c r="V25" s="246"/>
      <c r="W25" s="180">
        <v>8</v>
      </c>
      <c r="X25" s="180">
        <v>8</v>
      </c>
      <c r="Y25" s="134">
        <f t="shared" si="19"/>
        <v>1</v>
      </c>
      <c r="Z25" s="136">
        <v>12</v>
      </c>
      <c r="AA25" s="209"/>
      <c r="AB25" s="114"/>
    </row>
    <row r="26" spans="1:35" ht="12.75" customHeight="1">
      <c r="A26" s="139" t="s">
        <v>44</v>
      </c>
      <c r="B26" s="132" t="s">
        <v>45</v>
      </c>
      <c r="C26" s="138">
        <v>45628</v>
      </c>
      <c r="D26" s="134">
        <f t="shared" si="15"/>
        <v>96</v>
      </c>
      <c r="E26" s="134">
        <f t="shared" si="16"/>
        <v>96</v>
      </c>
      <c r="F26" s="134">
        <f t="shared" si="17"/>
        <v>72</v>
      </c>
      <c r="G26" s="134">
        <f t="shared" si="18"/>
        <v>72</v>
      </c>
      <c r="H26" s="135">
        <v>0</v>
      </c>
      <c r="I26" s="241">
        <v>8</v>
      </c>
      <c r="J26" s="241">
        <v>8</v>
      </c>
      <c r="K26" s="241">
        <v>8</v>
      </c>
      <c r="L26" s="237"/>
      <c r="M26" s="237"/>
      <c r="N26" s="245"/>
      <c r="O26" s="245"/>
      <c r="P26" s="241">
        <v>8</v>
      </c>
      <c r="Q26" s="241">
        <v>8</v>
      </c>
      <c r="R26" s="237"/>
      <c r="S26" s="241">
        <v>8</v>
      </c>
      <c r="T26" s="241">
        <v>8</v>
      </c>
      <c r="U26" s="245"/>
      <c r="V26" s="245"/>
      <c r="W26" s="241">
        <v>8</v>
      </c>
      <c r="X26" s="241">
        <v>8</v>
      </c>
      <c r="Y26" s="134">
        <f t="shared" si="19"/>
        <v>3</v>
      </c>
      <c r="Z26" s="136">
        <v>12</v>
      </c>
      <c r="AA26" s="209"/>
      <c r="AB26" s="114"/>
    </row>
    <row r="27" spans="1:35" ht="12.75" hidden="1" customHeight="1">
      <c r="A27" s="140"/>
      <c r="B27" s="132" t="s">
        <v>45</v>
      </c>
      <c r="C27" s="140"/>
      <c r="D27" s="140"/>
      <c r="E27" s="134">
        <f t="shared" si="16"/>
        <v>0</v>
      </c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35" ht="12.75" hidden="1" customHeight="1">
      <c r="A28" s="140"/>
      <c r="B28" s="132" t="s">
        <v>45</v>
      </c>
      <c r="C28" s="140"/>
      <c r="D28" s="140"/>
      <c r="E28" s="134">
        <f t="shared" si="16"/>
        <v>0</v>
      </c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45</v>
      </c>
      <c r="C29" s="140"/>
      <c r="D29" s="140"/>
      <c r="E29" s="134">
        <f t="shared" si="16"/>
        <v>0</v>
      </c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45</v>
      </c>
      <c r="C30" s="140"/>
      <c r="D30" s="140"/>
      <c r="E30" s="134">
        <f t="shared" si="16"/>
        <v>0</v>
      </c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customHeight="1">
      <c r="A31" s="139" t="s">
        <v>46</v>
      </c>
      <c r="B31" s="132" t="s">
        <v>45</v>
      </c>
      <c r="C31" s="138">
        <v>45628</v>
      </c>
      <c r="D31" s="253">
        <v>96</v>
      </c>
      <c r="E31" s="134">
        <v>96</v>
      </c>
      <c r="F31" s="253">
        <v>96</v>
      </c>
      <c r="G31" s="253">
        <v>96</v>
      </c>
      <c r="H31" s="237"/>
      <c r="I31" s="140">
        <v>8</v>
      </c>
      <c r="J31" s="140">
        <v>8</v>
      </c>
      <c r="K31" s="140">
        <v>8</v>
      </c>
      <c r="L31" s="140">
        <v>8</v>
      </c>
      <c r="M31" s="140">
        <v>8</v>
      </c>
      <c r="N31" s="245"/>
      <c r="O31" s="245"/>
      <c r="P31" s="140">
        <v>8</v>
      </c>
      <c r="Q31" s="140">
        <v>8</v>
      </c>
      <c r="R31" s="140">
        <v>8</v>
      </c>
      <c r="S31" s="140">
        <v>8</v>
      </c>
      <c r="T31" s="140">
        <v>8</v>
      </c>
      <c r="U31" s="140"/>
      <c r="V31" s="140"/>
      <c r="W31" s="140">
        <v>8</v>
      </c>
      <c r="X31" s="140">
        <v>8</v>
      </c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20">SUM(D21:D30)</f>
        <v>576</v>
      </c>
      <c r="E32" s="224">
        <f t="shared" si="20"/>
        <v>576</v>
      </c>
      <c r="F32" s="224">
        <f t="shared" si="20"/>
        <v>528</v>
      </c>
      <c r="G32" s="224">
        <f t="shared" si="20"/>
        <v>528</v>
      </c>
      <c r="H32" s="224">
        <f t="shared" si="20"/>
        <v>0</v>
      </c>
      <c r="I32" s="224">
        <f t="shared" si="20"/>
        <v>48</v>
      </c>
      <c r="J32" s="224">
        <f t="shared" si="20"/>
        <v>48</v>
      </c>
      <c r="K32" s="224">
        <f t="shared" si="20"/>
        <v>48</v>
      </c>
      <c r="L32" s="224">
        <f t="shared" si="20"/>
        <v>32</v>
      </c>
      <c r="M32" s="224">
        <f t="shared" si="20"/>
        <v>40</v>
      </c>
      <c r="N32" s="224">
        <f t="shared" si="20"/>
        <v>0</v>
      </c>
      <c r="O32" s="224">
        <f t="shared" si="20"/>
        <v>0</v>
      </c>
      <c r="P32" s="224">
        <f t="shared" si="20"/>
        <v>40</v>
      </c>
      <c r="Q32" s="224">
        <f t="shared" si="20"/>
        <v>48</v>
      </c>
      <c r="R32" s="224">
        <f t="shared" si="20"/>
        <v>40</v>
      </c>
      <c r="S32" s="224">
        <f t="shared" si="20"/>
        <v>48</v>
      </c>
      <c r="T32" s="224">
        <f t="shared" si="20"/>
        <v>40</v>
      </c>
      <c r="U32" s="224">
        <f t="shared" si="20"/>
        <v>0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247"/>
      <c r="G35" s="120"/>
      <c r="H35" s="120"/>
      <c r="I35" s="120"/>
      <c r="J35" s="120"/>
      <c r="K35" s="120"/>
      <c r="L35" s="118"/>
      <c r="M35" s="118"/>
      <c r="N35" s="118"/>
      <c r="O35" s="118"/>
      <c r="P35" s="118"/>
      <c r="Q35" s="118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39</v>
      </c>
      <c r="B36" s="153">
        <f>F5+F21</f>
        <v>176</v>
      </c>
      <c r="C36" s="154">
        <f t="shared" ref="C36:C41" si="21">E5+E21</f>
        <v>176</v>
      </c>
      <c r="D36" s="248">
        <f t="shared" ref="D36:D42" si="22">B36</f>
        <v>176</v>
      </c>
      <c r="E36" s="251">
        <v>33</v>
      </c>
      <c r="F36" s="251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 spans="1:29" ht="13.5" customHeight="1">
      <c r="A37" s="131" t="s">
        <v>40</v>
      </c>
      <c r="B37" s="153">
        <f>F6+F22</f>
        <v>168</v>
      </c>
      <c r="C37" s="154">
        <f t="shared" si="21"/>
        <v>176</v>
      </c>
      <c r="D37" s="248">
        <f t="shared" si="22"/>
        <v>168</v>
      </c>
      <c r="E37" s="251">
        <v>28</v>
      </c>
      <c r="F37" s="251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1" t="s">
        <v>41</v>
      </c>
      <c r="B38" s="153">
        <f>F7+F23</f>
        <v>176</v>
      </c>
      <c r="C38" s="154">
        <f t="shared" si="21"/>
        <v>176</v>
      </c>
      <c r="D38" s="248">
        <f t="shared" si="22"/>
        <v>176</v>
      </c>
      <c r="E38" s="251">
        <v>38</v>
      </c>
      <c r="F38" s="251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31" t="s">
        <v>42</v>
      </c>
      <c r="B39" s="153">
        <f>F8+F24</f>
        <v>168</v>
      </c>
      <c r="C39" s="154">
        <f t="shared" si="21"/>
        <v>176</v>
      </c>
      <c r="D39" s="248">
        <f t="shared" si="22"/>
        <v>168</v>
      </c>
      <c r="E39" s="251">
        <v>39</v>
      </c>
      <c r="F39" s="251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customHeight="1">
      <c r="A40" s="139" t="s">
        <v>43</v>
      </c>
      <c r="B40" s="216">
        <f>F9+F25</f>
        <v>168</v>
      </c>
      <c r="C40" s="217">
        <f t="shared" si="21"/>
        <v>176</v>
      </c>
      <c r="D40" s="249">
        <f t="shared" si="22"/>
        <v>168</v>
      </c>
      <c r="E40" s="251">
        <v>34</v>
      </c>
      <c r="F40" s="252"/>
      <c r="G40" s="114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customHeight="1">
      <c r="A41" s="139" t="s">
        <v>44</v>
      </c>
      <c r="B41" s="216">
        <v>136</v>
      </c>
      <c r="C41" s="217">
        <f t="shared" si="21"/>
        <v>176</v>
      </c>
      <c r="D41" s="254">
        <v>136</v>
      </c>
      <c r="E41" s="251">
        <v>32</v>
      </c>
      <c r="F41" s="252"/>
      <c r="G41" s="114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customHeight="1" thickBot="1">
      <c r="A42" s="139" t="s">
        <v>46</v>
      </c>
      <c r="B42" s="158">
        <v>160</v>
      </c>
      <c r="C42" s="159">
        <f>E10+E26</f>
        <v>176</v>
      </c>
      <c r="D42" s="250">
        <f t="shared" si="22"/>
        <v>160</v>
      </c>
      <c r="E42" s="251">
        <v>40</v>
      </c>
      <c r="F42" s="252"/>
      <c r="G42" s="114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40"/>
      <c r="B43" s="212">
        <f>G11+G27</f>
        <v>0</v>
      </c>
      <c r="C43" s="213">
        <f t="shared" ref="C43:D46" si="23">B43</f>
        <v>0</v>
      </c>
      <c r="D43" s="214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40"/>
      <c r="B44" s="153">
        <f>G12+G28</f>
        <v>0</v>
      </c>
      <c r="C44" s="154">
        <f t="shared" si="23"/>
        <v>0</v>
      </c>
      <c r="D44" s="155">
        <f t="shared" si="23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40"/>
      <c r="B45" s="153">
        <f>G13+G29</f>
        <v>0</v>
      </c>
      <c r="C45" s="154">
        <f t="shared" si="23"/>
        <v>0</v>
      </c>
      <c r="D45" s="155">
        <f t="shared" si="23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39" t="s">
        <v>46</v>
      </c>
      <c r="B46" s="158">
        <f>G14+G30</f>
        <v>0</v>
      </c>
      <c r="C46" s="159">
        <f t="shared" si="23"/>
        <v>0</v>
      </c>
      <c r="D46" s="160">
        <f t="shared" si="23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57" t="s">
        <v>0</v>
      </c>
      <c r="B49" s="258"/>
      <c r="C49" s="259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24">B51-B52</f>
        <v>10</v>
      </c>
      <c r="C53" s="173">
        <f t="shared" si="24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57" t="s">
        <v>22</v>
      </c>
      <c r="B56" s="258"/>
      <c r="C56" s="259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5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5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6">B58-B59</f>
        <v>12</v>
      </c>
      <c r="C60" s="173">
        <f t="shared" si="26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5" t="s">
        <v>5</v>
      </c>
      <c r="F3" s="264"/>
      <c r="G3" s="264"/>
      <c r="H3" s="264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3" t="s">
        <v>6</v>
      </c>
      <c r="Y3" s="263" t="s">
        <v>7</v>
      </c>
      <c r="Z3" s="209"/>
      <c r="AA3" s="210"/>
      <c r="AB3" s="114"/>
    </row>
    <row r="4" spans="1:35" ht="27" customHeight="1">
      <c r="A4" s="264"/>
      <c r="B4" s="264"/>
      <c r="C4" s="264"/>
      <c r="D4" s="26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4"/>
      <c r="Y4" s="26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3" t="s">
        <v>1</v>
      </c>
      <c r="B18" s="263" t="s">
        <v>2</v>
      </c>
      <c r="C18" s="263" t="s">
        <v>3</v>
      </c>
      <c r="D18" s="263" t="s">
        <v>4</v>
      </c>
      <c r="E18" s="265" t="s">
        <v>5</v>
      </c>
      <c r="F18" s="264"/>
      <c r="G18" s="264"/>
      <c r="H18" s="264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3" t="s">
        <v>6</v>
      </c>
      <c r="Z18" s="263" t="s">
        <v>7</v>
      </c>
      <c r="AA18" s="209"/>
      <c r="AB18" s="114"/>
    </row>
    <row r="19" spans="1:29" ht="26.25" customHeight="1">
      <c r="A19" s="264"/>
      <c r="B19" s="264"/>
      <c r="C19" s="264"/>
      <c r="D19" s="26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4"/>
      <c r="Z19" s="26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5" t="s">
        <v>5</v>
      </c>
      <c r="F3" s="264"/>
      <c r="G3" s="264"/>
      <c r="H3" s="264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3" t="s">
        <v>6</v>
      </c>
      <c r="Y3" s="263" t="s">
        <v>7</v>
      </c>
      <c r="Z3" s="209"/>
      <c r="AA3" s="210"/>
      <c r="AB3" s="114"/>
    </row>
    <row r="4" spans="1:35" ht="27" customHeight="1">
      <c r="A4" s="264"/>
      <c r="B4" s="264"/>
      <c r="C4" s="264"/>
      <c r="D4" s="26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4"/>
      <c r="Y4" s="26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3" t="s">
        <v>1</v>
      </c>
      <c r="B18" s="263" t="s">
        <v>2</v>
      </c>
      <c r="C18" s="263" t="s">
        <v>3</v>
      </c>
      <c r="D18" s="263" t="s">
        <v>4</v>
      </c>
      <c r="E18" s="265" t="s">
        <v>5</v>
      </c>
      <c r="F18" s="264"/>
      <c r="G18" s="264"/>
      <c r="H18" s="264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3" t="s">
        <v>6</v>
      </c>
      <c r="Z18" s="263" t="s">
        <v>7</v>
      </c>
      <c r="AA18" s="209"/>
      <c r="AB18" s="114"/>
    </row>
    <row r="19" spans="1:29" ht="26.25" customHeight="1">
      <c r="A19" s="264"/>
      <c r="B19" s="264"/>
      <c r="C19" s="264"/>
      <c r="D19" s="26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4"/>
      <c r="Z19" s="26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5" t="s">
        <v>5</v>
      </c>
      <c r="F3" s="264"/>
      <c r="G3" s="264"/>
      <c r="H3" s="264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3" t="s">
        <v>6</v>
      </c>
      <c r="Y3" s="263" t="s">
        <v>7</v>
      </c>
      <c r="Z3" s="209"/>
      <c r="AA3" s="114"/>
      <c r="AB3" s="114"/>
    </row>
    <row r="4" spans="1:35" ht="27" customHeight="1">
      <c r="A4" s="264"/>
      <c r="B4" s="264"/>
      <c r="C4" s="264"/>
      <c r="D4" s="26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4"/>
      <c r="Y4" s="26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3" t="s">
        <v>1</v>
      </c>
      <c r="B18" s="263" t="s">
        <v>2</v>
      </c>
      <c r="C18" s="263" t="s">
        <v>3</v>
      </c>
      <c r="D18" s="263" t="s">
        <v>4</v>
      </c>
      <c r="E18" s="265" t="s">
        <v>5</v>
      </c>
      <c r="F18" s="264"/>
      <c r="G18" s="264"/>
      <c r="H18" s="264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3" t="s">
        <v>6</v>
      </c>
      <c r="Z18" s="263" t="s">
        <v>7</v>
      </c>
      <c r="AA18" s="209"/>
      <c r="AB18" s="114"/>
    </row>
    <row r="19" spans="1:29" ht="26.25" customHeight="1">
      <c r="A19" s="264"/>
      <c r="B19" s="264"/>
      <c r="C19" s="264"/>
      <c r="D19" s="26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4"/>
      <c r="Z19" s="26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5" t="s">
        <v>5</v>
      </c>
      <c r="F3" s="264"/>
      <c r="G3" s="264"/>
      <c r="H3" s="264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3" t="s">
        <v>6</v>
      </c>
      <c r="Y3" s="263" t="s">
        <v>7</v>
      </c>
      <c r="Z3" s="209"/>
      <c r="AA3" s="114"/>
      <c r="AB3" s="114"/>
    </row>
    <row r="4" spans="1:35" ht="27" customHeight="1">
      <c r="A4" s="264"/>
      <c r="B4" s="264"/>
      <c r="C4" s="264"/>
      <c r="D4" s="26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4"/>
      <c r="Y4" s="26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3" t="s">
        <v>1</v>
      </c>
      <c r="B18" s="263" t="s">
        <v>2</v>
      </c>
      <c r="C18" s="263" t="s">
        <v>3</v>
      </c>
      <c r="D18" s="263" t="s">
        <v>4</v>
      </c>
      <c r="E18" s="265" t="s">
        <v>5</v>
      </c>
      <c r="F18" s="264"/>
      <c r="G18" s="264"/>
      <c r="H18" s="264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3" t="s">
        <v>6</v>
      </c>
      <c r="Z18" s="263" t="s">
        <v>7</v>
      </c>
      <c r="AA18" s="209"/>
      <c r="AB18" s="114"/>
    </row>
    <row r="19" spans="1:29" ht="26.25" customHeight="1">
      <c r="A19" s="264"/>
      <c r="B19" s="264"/>
      <c r="C19" s="264"/>
      <c r="D19" s="26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4"/>
      <c r="Z19" s="26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5" t="s">
        <v>1</v>
      </c>
      <c r="B3" s="255" t="s">
        <v>2</v>
      </c>
      <c r="C3" s="255" t="s">
        <v>3</v>
      </c>
      <c r="D3" s="255" t="s">
        <v>4</v>
      </c>
      <c r="E3" s="260" t="s">
        <v>5</v>
      </c>
      <c r="F3" s="261"/>
      <c r="G3" s="261"/>
      <c r="H3" s="262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5" t="s">
        <v>6</v>
      </c>
      <c r="Y3" s="255" t="s">
        <v>7</v>
      </c>
      <c r="Z3" s="120"/>
      <c r="AA3" s="114"/>
      <c r="AB3" s="114"/>
    </row>
    <row r="4" spans="1:35" ht="27" customHeight="1">
      <c r="A4" s="256"/>
      <c r="B4" s="256"/>
      <c r="C4" s="256"/>
      <c r="D4" s="256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6"/>
      <c r="Y4" s="256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5" t="s">
        <v>1</v>
      </c>
      <c r="B18" s="255" t="s">
        <v>2</v>
      </c>
      <c r="C18" s="255" t="s">
        <v>3</v>
      </c>
      <c r="D18" s="255" t="s">
        <v>4</v>
      </c>
      <c r="E18" s="260" t="s">
        <v>5</v>
      </c>
      <c r="F18" s="261"/>
      <c r="G18" s="261"/>
      <c r="H18" s="262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5" t="s">
        <v>6</v>
      </c>
      <c r="Z18" s="255" t="s">
        <v>7</v>
      </c>
      <c r="AA18" s="120"/>
      <c r="AB18" s="114"/>
    </row>
    <row r="19" spans="1:29" ht="26.25" customHeight="1">
      <c r="A19" s="256"/>
      <c r="B19" s="256"/>
      <c r="C19" s="256"/>
      <c r="D19" s="256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6"/>
      <c r="Z19" s="256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5" t="s">
        <v>1</v>
      </c>
      <c r="B3" s="255" t="s">
        <v>2</v>
      </c>
      <c r="C3" s="255" t="s">
        <v>3</v>
      </c>
      <c r="D3" s="255" t="s">
        <v>4</v>
      </c>
      <c r="E3" s="260" t="s">
        <v>5</v>
      </c>
      <c r="F3" s="261"/>
      <c r="G3" s="261"/>
      <c r="H3" s="262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5" t="s">
        <v>6</v>
      </c>
      <c r="Y3" s="255" t="s">
        <v>7</v>
      </c>
      <c r="Z3" s="120"/>
      <c r="AA3" s="114"/>
      <c r="AB3" s="114"/>
    </row>
    <row r="4" spans="1:35" ht="27" customHeight="1">
      <c r="A4" s="256"/>
      <c r="B4" s="256"/>
      <c r="C4" s="256"/>
      <c r="D4" s="256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6"/>
      <c r="Y4" s="256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5" t="s">
        <v>1</v>
      </c>
      <c r="B18" s="255" t="s">
        <v>2</v>
      </c>
      <c r="C18" s="255" t="s">
        <v>3</v>
      </c>
      <c r="D18" s="255" t="s">
        <v>4</v>
      </c>
      <c r="E18" s="260" t="s">
        <v>5</v>
      </c>
      <c r="F18" s="261"/>
      <c r="G18" s="261"/>
      <c r="H18" s="262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5" t="s">
        <v>6</v>
      </c>
      <c r="Z18" s="255" t="s">
        <v>7</v>
      </c>
      <c r="AA18" s="120"/>
      <c r="AB18" s="114"/>
    </row>
    <row r="19" spans="1:29" ht="26.25" customHeight="1">
      <c r="A19" s="256"/>
      <c r="B19" s="256"/>
      <c r="C19" s="256"/>
      <c r="D19" s="256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6"/>
      <c r="Z19" s="256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7" t="s">
        <v>0</v>
      </c>
      <c r="B46" s="258"/>
      <c r="C46" s="259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7" t="s">
        <v>22</v>
      </c>
      <c r="B53" s="258"/>
      <c r="C53" s="25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71" t="s">
        <v>5</v>
      </c>
      <c r="F3" s="272"/>
      <c r="G3" s="272"/>
      <c r="H3" s="273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6" t="s">
        <v>6</v>
      </c>
      <c r="Y3" s="266" t="s">
        <v>7</v>
      </c>
      <c r="Z3" s="13"/>
      <c r="AA3" s="15"/>
      <c r="AB3" s="15"/>
    </row>
    <row r="4" spans="1:35" ht="26.25" customHeight="1">
      <c r="A4" s="267"/>
      <c r="B4" s="267"/>
      <c r="C4" s="267"/>
      <c r="D4" s="267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7"/>
      <c r="Y4" s="267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71" t="s">
        <v>5</v>
      </c>
      <c r="F19" s="272"/>
      <c r="G19" s="272"/>
      <c r="H19" s="273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6" t="s">
        <v>6</v>
      </c>
      <c r="Z19" s="266" t="s">
        <v>7</v>
      </c>
      <c r="AA19" s="13"/>
      <c r="AB19" s="15"/>
    </row>
    <row r="20" spans="1:35" ht="26.25" customHeight="1">
      <c r="A20" s="267"/>
      <c r="B20" s="267"/>
      <c r="C20" s="267"/>
      <c r="D20" s="267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7"/>
      <c r="Z20" s="267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8" t="s">
        <v>0</v>
      </c>
      <c r="B49" s="269"/>
      <c r="C49" s="270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8" t="s">
        <v>22</v>
      </c>
      <c r="B56" s="269"/>
      <c r="C56" s="27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2026-04-29T13:38:09Z</dcterms:modified>
  <cp:category/>
  <cp:contentStatus/>
</cp:coreProperties>
</file>