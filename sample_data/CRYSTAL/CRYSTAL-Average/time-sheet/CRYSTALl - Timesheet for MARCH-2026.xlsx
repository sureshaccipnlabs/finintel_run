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FinIntel\Test-Data\Astral\TimeSheets\"/>
    </mc:Choice>
  </mc:AlternateContent>
  <xr:revisionPtr revIDLastSave="0" documentId="13_ncr:1_{944571D4-5612-4C16-850F-DE33BDFF9E68}" xr6:coauthVersionLast="47" xr6:coauthVersionMax="47" xr10:uidLastSave="{00000000-0000-0000-0000-000000000000}"/>
  <bookViews>
    <workbookView xWindow="-110" yWindow="-110" windowWidth="19420" windowHeight="11500" firstSheet="4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MARCH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23" l="1"/>
  <c r="C56" i="23"/>
  <c r="C55" i="23"/>
  <c r="B50" i="23"/>
  <c r="C49" i="23"/>
  <c r="C48" i="23"/>
  <c r="B43" i="23"/>
  <c r="C43" i="23" s="1"/>
  <c r="D43" i="23" s="1"/>
  <c r="B42" i="23"/>
  <c r="C42" i="23" s="1"/>
  <c r="D42" i="23" s="1"/>
  <c r="B41" i="23"/>
  <c r="C41" i="23" s="1"/>
  <c r="D41" i="23" s="1"/>
  <c r="B40" i="23"/>
  <c r="C40" i="23" s="1"/>
  <c r="D40" i="23" s="1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Y25" i="23"/>
  <c r="G25" i="23"/>
  <c r="F25" i="23"/>
  <c r="E25" i="23"/>
  <c r="D25" i="23" s="1"/>
  <c r="Y24" i="23"/>
  <c r="G24" i="23"/>
  <c r="F24" i="23" s="1"/>
  <c r="E24" i="23"/>
  <c r="D24" i="23"/>
  <c r="Y23" i="23"/>
  <c r="G23" i="23"/>
  <c r="F23" i="23" s="1"/>
  <c r="E23" i="23"/>
  <c r="D23" i="23"/>
  <c r="Y22" i="23"/>
  <c r="G22" i="23"/>
  <c r="F22" i="23"/>
  <c r="E22" i="23"/>
  <c r="D22" i="23"/>
  <c r="Y21" i="23"/>
  <c r="G21" i="23"/>
  <c r="F21" i="23" s="1"/>
  <c r="E21" i="23"/>
  <c r="D21" i="23" s="1"/>
  <c r="Y20" i="23"/>
  <c r="G20" i="23"/>
  <c r="F20" i="23" s="1"/>
  <c r="E20" i="23"/>
  <c r="D20" i="23" s="1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X10" i="23"/>
  <c r="G10" i="23"/>
  <c r="B39" i="23" s="1"/>
  <c r="D39" i="23" s="1"/>
  <c r="E10" i="23"/>
  <c r="D10" i="23" s="1"/>
  <c r="X9" i="23"/>
  <c r="G9" i="23"/>
  <c r="F9" i="23" s="1"/>
  <c r="E9" i="23"/>
  <c r="D9" i="23" s="1"/>
  <c r="X8" i="23"/>
  <c r="G8" i="23"/>
  <c r="F8" i="23" s="1"/>
  <c r="E8" i="23"/>
  <c r="D8" i="23"/>
  <c r="X7" i="23"/>
  <c r="G7" i="23"/>
  <c r="F7" i="23"/>
  <c r="E7" i="23"/>
  <c r="D7" i="23"/>
  <c r="X6" i="23"/>
  <c r="G6" i="23"/>
  <c r="F6" i="23" s="1"/>
  <c r="E6" i="23"/>
  <c r="D6" i="23" s="1"/>
  <c r="X5" i="23"/>
  <c r="G5" i="23"/>
  <c r="F5" i="23" s="1"/>
  <c r="E5" i="23"/>
  <c r="D5" i="23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B35" i="23" l="1"/>
  <c r="D35" i="23" s="1"/>
  <c r="C50" i="23"/>
  <c r="C37" i="23"/>
  <c r="C39" i="23"/>
  <c r="F30" i="23"/>
  <c r="C36" i="23"/>
  <c r="B36" i="23"/>
  <c r="D36" i="23" s="1"/>
  <c r="B38" i="23"/>
  <c r="D38" i="23" s="1"/>
  <c r="F10" i="23"/>
  <c r="C57" i="23"/>
  <c r="C59" i="23" s="1"/>
  <c r="B37" i="23"/>
  <c r="D37" i="23" s="1"/>
  <c r="D30" i="23"/>
  <c r="D15" i="23"/>
  <c r="E30" i="23"/>
  <c r="G15" i="23"/>
  <c r="C35" i="23"/>
  <c r="C38" i="23"/>
  <c r="G30" i="23"/>
  <c r="I4" i="23"/>
  <c r="J3" i="23"/>
  <c r="C34" i="23"/>
  <c r="E15" i="23"/>
  <c r="B34" i="23"/>
  <c r="D34" i="23" s="1"/>
  <c r="F15" i="23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8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19" i="23" l="1"/>
  <c r="J18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19" i="23" l="1"/>
  <c r="K18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19" i="23" l="1"/>
  <c r="L18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19" i="23" l="1"/>
  <c r="M18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19" i="23" l="1"/>
  <c r="N18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19" i="23" l="1"/>
  <c r="O18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19" i="23" l="1"/>
  <c r="P18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19" i="23" l="1"/>
  <c r="Q18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19" i="23" l="1"/>
  <c r="R18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19" i="23" l="1"/>
  <c r="S18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19" i="23" l="1"/>
  <c r="T18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19" i="23" l="1"/>
  <c r="U18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19" i="23" l="1"/>
  <c r="V18" i="23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W18" i="23" l="1"/>
  <c r="V19" i="23"/>
  <c r="V19" i="2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3" l="1"/>
  <c r="X18" i="23"/>
  <c r="X19" i="23" s="1"/>
  <c r="W19" i="20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<sst xmlns="http://schemas.openxmlformats.org/spreadsheetml/2006/main" count="1779" uniqueCount="46">
  <si>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</si>
  <si>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</si>
  <si>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</si>
  <si>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</si>
  <si>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</si>
  <si>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</si>
  <si>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</si>
  <si>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</si>
  <si>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</si>
  <si>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</si>
  <si>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</si>
  <si>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</si>
  <si>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</si>
  <si>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</si>
  <si>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</si>
  <si>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</si>
  <si>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</si>
  <si>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</si>
  <si>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</si>
  <si>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</si>
  <si>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</si>
  <si>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</si>
  <si>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</si>
  <si>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</si>
  <si>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</si>
  <si>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</si>
  <si>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</si>
  <si>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</si>
  <si>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</si>
  <si>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</si>
  <si>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</si>
  <si>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</si>
  <si>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</si>
  <si>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</si>
  <si>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</si>
  <si>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</si>
  <si>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</si>
  <si>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</si>
  <si>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</si>
  <si>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Jay</t>
  </si>
  <si>
    <t>John</t>
  </si>
  <si>
    <t>Yixin Dio</t>
  </si>
  <si>
    <t>Niel</t>
  </si>
  <si>
    <t>Joe</t>
  </si>
  <si>
    <t>David</t>
  </si>
  <si>
    <t>CRYSTAL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</si>
</sst>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167" fontId="21" fillId="18" borderId="4" xfId="0" applyNumberFormat="1" applyFont="1" applyFill="1" applyBorder="1" applyAlignment="1">
      <alignment horizontal="center" vertical="center"/>
    </xf>
    <xf numFmtId="167" fontId="23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9"/>
      <c r="G3" s="259"/>
      <c r="H3" s="260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3" t="s">
        <v>6</v>
      </c>
      <c r="Y3" s="253" t="s">
        <v>7</v>
      </c>
      <c r="Z3" s="120"/>
      <c r="AA3" s="114"/>
      <c r="AB3" s="114"/>
    </row>
    <row r="4" spans="1:35" ht="27" customHeight="1">
      <c r="A4" s="254"/>
      <c r="B4" s="254"/>
      <c r="C4" s="254"/>
      <c r="D4" s="254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4"/>
      <c r="Y4" s="254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9"/>
      <c r="G18" s="259"/>
      <c r="H18" s="260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3" t="s">
        <v>6</v>
      </c>
      <c r="Z18" s="253" t="s">
        <v>7</v>
      </c>
      <c r="AA18" s="120"/>
      <c r="AB18" s="114"/>
    </row>
    <row r="19" spans="1:29" ht="26.25" customHeight="1">
      <c r="A19" s="254"/>
      <c r="B19" s="254"/>
      <c r="C19" s="254"/>
      <c r="D19" s="254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4"/>
      <c r="Z19" s="254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7"/>
  <sheetViews>
    <sheetView showGridLines="0" tabSelected="1" workbookViewId="0">
      <pane xSplit="2" topLeftCell="C1" activePane="topRight" state="frozen"/>
      <selection pane="topRight" activeCell="D22" sqref="D22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46082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46082</v>
      </c>
      <c r="J3" s="141">
        <f t="shared" ref="J3:W3" si="0">I3+1</f>
        <v>46083</v>
      </c>
      <c r="K3" s="141">
        <f t="shared" si="0"/>
        <v>46084</v>
      </c>
      <c r="L3" s="141">
        <f t="shared" si="0"/>
        <v>46085</v>
      </c>
      <c r="M3" s="141">
        <f t="shared" si="0"/>
        <v>46086</v>
      </c>
      <c r="N3" s="141">
        <f t="shared" si="0"/>
        <v>46087</v>
      </c>
      <c r="O3" s="141">
        <f t="shared" si="0"/>
        <v>46088</v>
      </c>
      <c r="P3" s="141">
        <f t="shared" si="0"/>
        <v>46089</v>
      </c>
      <c r="Q3" s="141">
        <f t="shared" si="0"/>
        <v>46090</v>
      </c>
      <c r="R3" s="141">
        <f t="shared" si="0"/>
        <v>46091</v>
      </c>
      <c r="S3" s="141">
        <f t="shared" si="0"/>
        <v>46092</v>
      </c>
      <c r="T3" s="141">
        <f t="shared" si="0"/>
        <v>46093</v>
      </c>
      <c r="U3" s="141">
        <f t="shared" si="0"/>
        <v>46094</v>
      </c>
      <c r="V3" s="141">
        <f t="shared" si="0"/>
        <v>46095</v>
      </c>
      <c r="W3" s="141">
        <f t="shared" si="0"/>
        <v>46096</v>
      </c>
      <c r="X3" s="261" t="s">
        <v>6</v>
      </c>
      <c r="Y3" s="261" t="s">
        <v>7</v>
      </c>
      <c r="Z3" s="209"/>
      <c r="AA3" s="210"/>
      <c r="AB3" s="114"/>
    </row>
    <row r="4" spans="1:35" ht="27" customHeight="1" thickBo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2"/>
      <c r="Y4" s="26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39</v>
      </c>
      <c r="B5" s="132" t="s">
        <v>45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45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45"/>
      <c r="P5" s="245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45"/>
      <c r="W5" s="245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40</v>
      </c>
      <c r="B6" s="132" t="s">
        <v>45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245"/>
      <c r="J6" s="183">
        <v>8</v>
      </c>
      <c r="K6" s="183">
        <v>8</v>
      </c>
      <c r="L6" s="183">
        <v>8</v>
      </c>
      <c r="M6" s="183">
        <v>8</v>
      </c>
      <c r="N6" s="183">
        <v>8</v>
      </c>
      <c r="O6" s="245"/>
      <c r="P6" s="245"/>
      <c r="Q6" s="183">
        <v>8</v>
      </c>
      <c r="R6" s="183">
        <v>8</v>
      </c>
      <c r="S6" s="183">
        <v>8</v>
      </c>
      <c r="T6" s="183">
        <v>8</v>
      </c>
      <c r="U6" s="183">
        <v>8</v>
      </c>
      <c r="V6" s="245"/>
      <c r="W6" s="245"/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41</v>
      </c>
      <c r="B7" s="132" t="s">
        <v>45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45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45"/>
      <c r="P7" s="245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45"/>
      <c r="W7" s="245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42</v>
      </c>
      <c r="B8" s="132" t="s">
        <v>45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45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45"/>
      <c r="P8" s="245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45"/>
      <c r="W8" s="24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43</v>
      </c>
      <c r="B9" s="132" t="s">
        <v>45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45"/>
      <c r="J9" s="241">
        <v>8</v>
      </c>
      <c r="K9" s="183">
        <v>8</v>
      </c>
      <c r="L9" s="183">
        <v>8</v>
      </c>
      <c r="M9" s="183">
        <v>8</v>
      </c>
      <c r="N9" s="183">
        <v>8</v>
      </c>
      <c r="O9" s="246"/>
      <c r="P9" s="245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45"/>
      <c r="W9" s="245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44</v>
      </c>
      <c r="B10" s="132" t="s">
        <v>45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245"/>
      <c r="J10" s="241">
        <v>8</v>
      </c>
      <c r="K10" s="241">
        <v>8</v>
      </c>
      <c r="L10" s="241">
        <v>8</v>
      </c>
      <c r="M10" s="241">
        <v>8</v>
      </c>
      <c r="N10" s="241">
        <v>8</v>
      </c>
      <c r="O10" s="245"/>
      <c r="P10" s="245"/>
      <c r="Q10" s="241">
        <v>8</v>
      </c>
      <c r="R10" s="241">
        <v>8</v>
      </c>
      <c r="S10" s="241">
        <v>8</v>
      </c>
      <c r="T10" s="241">
        <v>8</v>
      </c>
      <c r="U10" s="241">
        <v>8</v>
      </c>
      <c r="V10" s="245"/>
      <c r="W10" s="245"/>
      <c r="X10" s="134">
        <f t="shared" si="6"/>
        <v>0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480</v>
      </c>
      <c r="G15" s="224">
        <f t="shared" si="8"/>
        <v>480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0</v>
      </c>
      <c r="P15" s="224">
        <f t="shared" si="8"/>
        <v>0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46097</v>
      </c>
      <c r="J18" s="141">
        <f t="shared" ref="J18:U18" si="9">I18+1</f>
        <v>46098</v>
      </c>
      <c r="K18" s="141">
        <f t="shared" si="9"/>
        <v>46099</v>
      </c>
      <c r="L18" s="141">
        <f t="shared" si="9"/>
        <v>46100</v>
      </c>
      <c r="M18" s="141">
        <f t="shared" si="9"/>
        <v>46101</v>
      </c>
      <c r="N18" s="141">
        <f t="shared" si="9"/>
        <v>46102</v>
      </c>
      <c r="O18" s="141">
        <f t="shared" si="9"/>
        <v>46103</v>
      </c>
      <c r="P18" s="141">
        <f t="shared" si="9"/>
        <v>46104</v>
      </c>
      <c r="Q18" s="141">
        <f t="shared" si="9"/>
        <v>46105</v>
      </c>
      <c r="R18" s="141">
        <f t="shared" si="9"/>
        <v>46106</v>
      </c>
      <c r="S18" s="141">
        <f t="shared" si="9"/>
        <v>46107</v>
      </c>
      <c r="T18" s="141">
        <f t="shared" si="9"/>
        <v>46108</v>
      </c>
      <c r="U18" s="141">
        <f t="shared" si="9"/>
        <v>46109</v>
      </c>
      <c r="V18" s="141">
        <f t="shared" ref="V18" si="10">U18+1</f>
        <v>46110</v>
      </c>
      <c r="W18" s="141">
        <f t="shared" ref="W18" si="11">V18+1</f>
        <v>46111</v>
      </c>
      <c r="X18" s="141">
        <f t="shared" ref="X18" si="12">W18+1</f>
        <v>46112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3">IF(I18="","",TEXT(WEEKDAY(I18), "ddd"))</f>
        <v>Mon</v>
      </c>
      <c r="J19" s="222" t="str">
        <f t="shared" si="13"/>
        <v>Tue</v>
      </c>
      <c r="K19" s="222" t="str">
        <f t="shared" si="13"/>
        <v>Wed</v>
      </c>
      <c r="L19" s="222" t="str">
        <f t="shared" si="13"/>
        <v>Thu</v>
      </c>
      <c r="M19" s="222" t="str">
        <f t="shared" si="13"/>
        <v>Fri</v>
      </c>
      <c r="N19" s="222" t="str">
        <f t="shared" si="13"/>
        <v>Sat</v>
      </c>
      <c r="O19" s="222" t="str">
        <f t="shared" si="13"/>
        <v>Sun</v>
      </c>
      <c r="P19" s="127" t="str">
        <f t="shared" si="13"/>
        <v>Mon</v>
      </c>
      <c r="Q19" s="127" t="str">
        <f t="shared" si="13"/>
        <v>Tue</v>
      </c>
      <c r="R19" s="222" t="str">
        <f t="shared" si="13"/>
        <v>Wed</v>
      </c>
      <c r="S19" s="222" t="str">
        <f t="shared" si="13"/>
        <v>Thu</v>
      </c>
      <c r="T19" s="222" t="str">
        <f t="shared" si="13"/>
        <v>Fri</v>
      </c>
      <c r="U19" s="222" t="str">
        <f t="shared" si="13"/>
        <v>Sat</v>
      </c>
      <c r="V19" s="222" t="str">
        <f t="shared" ref="V19:X19" si="14">IF(V18="","",TEXT(WEEKDAY(V18), "ddd"))</f>
        <v>Sun</v>
      </c>
      <c r="W19" s="222" t="str">
        <f t="shared" si="14"/>
        <v>Mon</v>
      </c>
      <c r="X19" s="222" t="str">
        <f t="shared" si="14"/>
        <v>Tue</v>
      </c>
      <c r="Y19" s="262"/>
      <c r="Z19" s="262"/>
      <c r="AA19" s="209"/>
      <c r="AB19" s="114"/>
    </row>
    <row r="20" spans="1:29" ht="12.75" customHeight="1">
      <c r="A20" s="131" t="s">
        <v>39</v>
      </c>
      <c r="B20" s="132" t="s">
        <v>45</v>
      </c>
      <c r="C20" s="133">
        <v>43437</v>
      </c>
      <c r="D20" s="134">
        <f t="shared" ref="D20:D25" si="15">E20</f>
        <v>96</v>
      </c>
      <c r="E20" s="134">
        <f t="shared" ref="E20:E25" si="16">Z20*8</f>
        <v>96</v>
      </c>
      <c r="F20" s="134">
        <f t="shared" ref="F20:F25" si="17">G20+H20</f>
        <v>96</v>
      </c>
      <c r="G20" s="134">
        <f t="shared" ref="G20:G25" si="18">SUM(I20:X20)</f>
        <v>96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247"/>
      <c r="O20" s="247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247"/>
      <c r="V20" s="245"/>
      <c r="W20" s="183">
        <v>8</v>
      </c>
      <c r="X20" s="180">
        <v>8</v>
      </c>
      <c r="Y20" s="134">
        <f t="shared" ref="Y20:Y25" si="19">Z20-COUNTA(I20:X20)</f>
        <v>0</v>
      </c>
      <c r="Z20" s="136">
        <v>12</v>
      </c>
      <c r="AA20" s="209"/>
      <c r="AB20" s="114"/>
    </row>
    <row r="21" spans="1:29" ht="12.75" customHeight="1">
      <c r="A21" s="131" t="s">
        <v>40</v>
      </c>
      <c r="B21" s="132" t="s">
        <v>45</v>
      </c>
      <c r="C21" s="133">
        <v>45028</v>
      </c>
      <c r="D21" s="134">
        <f t="shared" si="15"/>
        <v>96</v>
      </c>
      <c r="E21" s="134">
        <f t="shared" si="16"/>
        <v>96</v>
      </c>
      <c r="F21" s="134">
        <f t="shared" si="17"/>
        <v>88</v>
      </c>
      <c r="G21" s="134">
        <f t="shared" si="18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247"/>
      <c r="O21" s="245"/>
      <c r="P21" s="186"/>
      <c r="Q21" s="180">
        <v>8</v>
      </c>
      <c r="R21" s="183">
        <v>8</v>
      </c>
      <c r="S21" s="180">
        <v>8</v>
      </c>
      <c r="T21" s="180">
        <v>8</v>
      </c>
      <c r="U21" s="247"/>
      <c r="V21" s="245"/>
      <c r="W21" s="180">
        <v>8</v>
      </c>
      <c r="X21" s="180">
        <v>8</v>
      </c>
      <c r="Y21" s="134">
        <f t="shared" si="19"/>
        <v>1</v>
      </c>
      <c r="Z21" s="136">
        <v>12</v>
      </c>
      <c r="AA21" s="209"/>
      <c r="AB21" s="114"/>
    </row>
    <row r="22" spans="1:29" ht="12.75" customHeight="1">
      <c r="A22" s="131" t="s">
        <v>41</v>
      </c>
      <c r="B22" s="132" t="s">
        <v>45</v>
      </c>
      <c r="C22" s="133">
        <v>43395</v>
      </c>
      <c r="D22" s="134">
        <f t="shared" si="15"/>
        <v>96</v>
      </c>
      <c r="E22" s="134">
        <f t="shared" si="16"/>
        <v>96</v>
      </c>
      <c r="F22" s="134">
        <f t="shared" si="17"/>
        <v>96</v>
      </c>
      <c r="G22" s="134">
        <f t="shared" si="18"/>
        <v>96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80">
        <v>8</v>
      </c>
      <c r="N22" s="247"/>
      <c r="O22" s="247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247"/>
      <c r="V22" s="247"/>
      <c r="W22" s="180">
        <v>8</v>
      </c>
      <c r="X22" s="180">
        <v>8</v>
      </c>
      <c r="Y22" s="134">
        <f t="shared" si="19"/>
        <v>0</v>
      </c>
      <c r="Z22" s="136">
        <v>12</v>
      </c>
      <c r="AA22" s="209"/>
      <c r="AB22" s="114"/>
    </row>
    <row r="23" spans="1:29" ht="12.75" customHeight="1">
      <c r="A23" s="131" t="s">
        <v>42</v>
      </c>
      <c r="B23" s="132" t="s">
        <v>45</v>
      </c>
      <c r="C23" s="138">
        <v>43741</v>
      </c>
      <c r="D23" s="134">
        <f t="shared" si="15"/>
        <v>96</v>
      </c>
      <c r="E23" s="134">
        <f t="shared" si="16"/>
        <v>96</v>
      </c>
      <c r="F23" s="134">
        <f t="shared" si="17"/>
        <v>88</v>
      </c>
      <c r="G23" s="134">
        <f t="shared" si="18"/>
        <v>88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247"/>
      <c r="O23" s="245"/>
      <c r="P23" s="183">
        <v>8</v>
      </c>
      <c r="Q23" s="180">
        <v>8</v>
      </c>
      <c r="R23" s="183">
        <v>8</v>
      </c>
      <c r="S23" s="180">
        <v>8</v>
      </c>
      <c r="T23" s="186"/>
      <c r="U23" s="247"/>
      <c r="V23" s="245"/>
      <c r="W23" s="183">
        <v>8</v>
      </c>
      <c r="X23" s="180">
        <v>8</v>
      </c>
      <c r="Y23" s="134">
        <f t="shared" si="19"/>
        <v>1</v>
      </c>
      <c r="Z23" s="136">
        <v>12</v>
      </c>
      <c r="AA23" s="209"/>
      <c r="AB23" s="114"/>
    </row>
    <row r="24" spans="1:29" ht="12.75" customHeight="1">
      <c r="A24" s="139" t="s">
        <v>43</v>
      </c>
      <c r="B24" s="132" t="s">
        <v>45</v>
      </c>
      <c r="C24" s="138">
        <v>43731</v>
      </c>
      <c r="D24" s="134">
        <f t="shared" si="15"/>
        <v>96</v>
      </c>
      <c r="E24" s="134">
        <f t="shared" si="16"/>
        <v>96</v>
      </c>
      <c r="F24" s="134">
        <f t="shared" si="17"/>
        <v>88</v>
      </c>
      <c r="G24" s="134">
        <f t="shared" si="18"/>
        <v>88</v>
      </c>
      <c r="H24" s="135">
        <v>0</v>
      </c>
      <c r="I24" s="180">
        <v>8</v>
      </c>
      <c r="J24" s="180">
        <v>8</v>
      </c>
      <c r="K24" s="180">
        <v>8</v>
      </c>
      <c r="L24" s="237"/>
      <c r="M24" s="180">
        <v>8</v>
      </c>
      <c r="N24" s="247"/>
      <c r="O24" s="247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247"/>
      <c r="V24" s="247"/>
      <c r="W24" s="180">
        <v>8</v>
      </c>
      <c r="X24" s="180">
        <v>8</v>
      </c>
      <c r="Y24" s="134">
        <f t="shared" si="19"/>
        <v>1</v>
      </c>
      <c r="Z24" s="136">
        <v>12</v>
      </c>
      <c r="AA24" s="209"/>
      <c r="AB24" s="114"/>
    </row>
    <row r="25" spans="1:29" ht="12.75" customHeight="1">
      <c r="A25" s="139" t="s">
        <v>44</v>
      </c>
      <c r="B25" s="132" t="s">
        <v>45</v>
      </c>
      <c r="C25" s="138">
        <v>45628</v>
      </c>
      <c r="D25" s="134">
        <f t="shared" si="15"/>
        <v>96</v>
      </c>
      <c r="E25" s="134">
        <f t="shared" si="16"/>
        <v>96</v>
      </c>
      <c r="F25" s="134">
        <f t="shared" si="17"/>
        <v>72</v>
      </c>
      <c r="G25" s="134">
        <f t="shared" si="18"/>
        <v>72</v>
      </c>
      <c r="H25" s="135">
        <v>0</v>
      </c>
      <c r="I25" s="241">
        <v>8</v>
      </c>
      <c r="J25" s="241">
        <v>8</v>
      </c>
      <c r="K25" s="241">
        <v>8</v>
      </c>
      <c r="L25" s="237"/>
      <c r="M25" s="237"/>
      <c r="N25" s="245"/>
      <c r="O25" s="245"/>
      <c r="P25" s="241">
        <v>8</v>
      </c>
      <c r="Q25" s="241">
        <v>8</v>
      </c>
      <c r="R25" s="237"/>
      <c r="S25" s="241">
        <v>8</v>
      </c>
      <c r="T25" s="241">
        <v>8</v>
      </c>
      <c r="U25" s="245"/>
      <c r="V25" s="245"/>
      <c r="W25" s="241">
        <v>8</v>
      </c>
      <c r="X25" s="241">
        <v>8</v>
      </c>
      <c r="Y25" s="134">
        <f t="shared" si="19"/>
        <v>3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20">SUM(D20:D29)</f>
        <v>576</v>
      </c>
      <c r="E30" s="224">
        <f t="shared" si="20"/>
        <v>576</v>
      </c>
      <c r="F30" s="224">
        <f t="shared" si="20"/>
        <v>528</v>
      </c>
      <c r="G30" s="224">
        <f t="shared" si="20"/>
        <v>528</v>
      </c>
      <c r="H30" s="224">
        <f t="shared" si="20"/>
        <v>0</v>
      </c>
      <c r="I30" s="224">
        <f t="shared" si="20"/>
        <v>48</v>
      </c>
      <c r="J30" s="224">
        <f t="shared" si="20"/>
        <v>48</v>
      </c>
      <c r="K30" s="224">
        <f t="shared" si="20"/>
        <v>48</v>
      </c>
      <c r="L30" s="224">
        <f t="shared" si="20"/>
        <v>32</v>
      </c>
      <c r="M30" s="224">
        <f t="shared" si="20"/>
        <v>40</v>
      </c>
      <c r="N30" s="224">
        <f t="shared" si="20"/>
        <v>0</v>
      </c>
      <c r="O30" s="224">
        <f t="shared" si="20"/>
        <v>0</v>
      </c>
      <c r="P30" s="224">
        <f t="shared" si="20"/>
        <v>40</v>
      </c>
      <c r="Q30" s="224">
        <f t="shared" si="20"/>
        <v>48</v>
      </c>
      <c r="R30" s="224">
        <f t="shared" si="20"/>
        <v>40</v>
      </c>
      <c r="S30" s="224">
        <f t="shared" si="20"/>
        <v>48</v>
      </c>
      <c r="T30" s="224">
        <f t="shared" si="20"/>
        <v>40</v>
      </c>
      <c r="U30" s="224">
        <f t="shared" si="20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8" t="s">
        <v>25</v>
      </c>
      <c r="E33" s="248" t="s">
        <v>38</v>
      </c>
      <c r="F33" s="120"/>
      <c r="G33" s="120"/>
      <c r="H33" s="120"/>
      <c r="I33" s="120"/>
      <c r="J33" s="120"/>
      <c r="K33" s="118"/>
      <c r="L33" s="118"/>
      <c r="M33" s="118"/>
      <c r="N33" s="118"/>
      <c r="O33" s="118"/>
      <c r="P33" s="118"/>
      <c r="Q33" s="120"/>
      <c r="R33" s="120"/>
      <c r="S33" s="120"/>
      <c r="T33" s="120"/>
      <c r="U33" s="120"/>
      <c r="V33" s="120"/>
      <c r="W33" s="120"/>
      <c r="X33" s="120"/>
      <c r="Y33" s="120"/>
      <c r="Z33" s="148"/>
      <c r="AA33" s="120"/>
      <c r="AB33" s="114"/>
    </row>
    <row r="34" spans="1:29" ht="13.5" customHeight="1">
      <c r="A34" s="131" t="s">
        <v>39</v>
      </c>
      <c r="B34" s="153">
        <f>F5+F20</f>
        <v>176</v>
      </c>
      <c r="C34" s="154">
        <f t="shared" ref="C34:C39" si="21">E5+E20</f>
        <v>176</v>
      </c>
      <c r="D34" s="249">
        <f t="shared" ref="D34:D39" si="22">B34</f>
        <v>176</v>
      </c>
      <c r="E34" s="252">
        <v>29</v>
      </c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</row>
    <row r="35" spans="1:29" ht="13.5" customHeight="1">
      <c r="A35" s="131" t="s">
        <v>40</v>
      </c>
      <c r="B35" s="153">
        <f>F6+F21</f>
        <v>168</v>
      </c>
      <c r="C35" s="154">
        <f t="shared" si="21"/>
        <v>176</v>
      </c>
      <c r="D35" s="249">
        <f t="shared" si="22"/>
        <v>168</v>
      </c>
      <c r="E35" s="252">
        <v>32</v>
      </c>
      <c r="F35" s="114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48"/>
      <c r="AA35" s="120"/>
      <c r="AB35" s="114"/>
    </row>
    <row r="36" spans="1:29" ht="13.5" customHeight="1">
      <c r="A36" s="131" t="s">
        <v>41</v>
      </c>
      <c r="B36" s="153">
        <f>F7+F22</f>
        <v>176</v>
      </c>
      <c r="C36" s="154">
        <f t="shared" si="21"/>
        <v>176</v>
      </c>
      <c r="D36" s="249">
        <f t="shared" si="22"/>
        <v>176</v>
      </c>
      <c r="E36" s="252">
        <v>36</v>
      </c>
      <c r="F36" s="114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48"/>
      <c r="AA36" s="120"/>
      <c r="AB36" s="114"/>
    </row>
    <row r="37" spans="1:29" ht="13.5" customHeight="1">
      <c r="A37" s="131" t="s">
        <v>42</v>
      </c>
      <c r="B37" s="153">
        <f>F8+F23</f>
        <v>168</v>
      </c>
      <c r="C37" s="154">
        <f t="shared" si="21"/>
        <v>176</v>
      </c>
      <c r="D37" s="249">
        <f t="shared" si="22"/>
        <v>168</v>
      </c>
      <c r="E37" s="252">
        <v>23</v>
      </c>
      <c r="F37" s="114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48"/>
      <c r="AA37" s="120"/>
      <c r="AB37" s="114"/>
    </row>
    <row r="38" spans="1:29" ht="13.5" customHeight="1">
      <c r="A38" s="139" t="s">
        <v>43</v>
      </c>
      <c r="B38" s="216">
        <f>F9+F24</f>
        <v>168</v>
      </c>
      <c r="C38" s="217">
        <f t="shared" si="21"/>
        <v>176</v>
      </c>
      <c r="D38" s="250">
        <f t="shared" si="22"/>
        <v>168</v>
      </c>
      <c r="E38" s="252">
        <v>28</v>
      </c>
      <c r="F38" s="114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48"/>
      <c r="AA38" s="120"/>
      <c r="AB38" s="114"/>
    </row>
    <row r="39" spans="1:29" ht="13.5" customHeight="1" thickBot="1">
      <c r="A39" s="139" t="s">
        <v>44</v>
      </c>
      <c r="B39" s="158">
        <f>G10+G25</f>
        <v>152</v>
      </c>
      <c r="C39" s="159">
        <f t="shared" si="21"/>
        <v>176</v>
      </c>
      <c r="D39" s="251">
        <f t="shared" si="22"/>
        <v>152</v>
      </c>
      <c r="E39" s="252">
        <v>27</v>
      </c>
      <c r="F39" s="114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48"/>
      <c r="AA39" s="120"/>
      <c r="AB39" s="114"/>
    </row>
    <row r="40" spans="1:29" ht="13.5" hidden="1" customHeight="1">
      <c r="A40" s="211"/>
      <c r="B40" s="212">
        <f>G11+G26</f>
        <v>0</v>
      </c>
      <c r="C40" s="213">
        <f t="shared" ref="C40:D43" si="23">B40</f>
        <v>0</v>
      </c>
      <c r="D40" s="214">
        <f t="shared" si="23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3"/>
        <v>0</v>
      </c>
      <c r="D41" s="155">
        <f t="shared" si="23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3"/>
        <v>0</v>
      </c>
      <c r="D42" s="155">
        <f t="shared" si="23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3"/>
        <v>0</v>
      </c>
      <c r="D43" s="160">
        <f t="shared" si="23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4">B48-B49</f>
        <v>10</v>
      </c>
      <c r="C50" s="173">
        <f t="shared" si="24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5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5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6">B55-B56</f>
        <v>12</v>
      </c>
      <c r="C57" s="173">
        <f t="shared" si="26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1" t="s">
        <v>6</v>
      </c>
      <c r="Y3" s="261" t="s">
        <v>7</v>
      </c>
      <c r="Z3" s="209"/>
      <c r="AA3" s="210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2"/>
      <c r="Y4" s="26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61" t="s">
        <v>6</v>
      </c>
      <c r="Y3" s="261" t="s">
        <v>7</v>
      </c>
      <c r="Z3" s="209"/>
      <c r="AA3" s="210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62"/>
      <c r="Y4" s="26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9"/>
      <c r="G3" s="259"/>
      <c r="H3" s="260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3" t="s">
        <v>6</v>
      </c>
      <c r="Y3" s="253" t="s">
        <v>7</v>
      </c>
      <c r="Z3" s="120"/>
      <c r="AA3" s="114"/>
      <c r="AB3" s="114"/>
    </row>
    <row r="4" spans="1:35" ht="27" customHeight="1">
      <c r="A4" s="254"/>
      <c r="B4" s="254"/>
      <c r="C4" s="254"/>
      <c r="D4" s="254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4"/>
      <c r="Y4" s="254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9"/>
      <c r="G18" s="259"/>
      <c r="H18" s="260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3" t="s">
        <v>6</v>
      </c>
      <c r="Z18" s="253" t="s">
        <v>7</v>
      </c>
      <c r="AA18" s="120"/>
      <c r="AB18" s="114"/>
    </row>
    <row r="19" spans="1:29" ht="26.25" customHeight="1">
      <c r="A19" s="254"/>
      <c r="B19" s="254"/>
      <c r="C19" s="254"/>
      <c r="D19" s="254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4"/>
      <c r="Z19" s="254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9"/>
      <c r="G3" s="259"/>
      <c r="H3" s="260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3" t="s">
        <v>6</v>
      </c>
      <c r="Y3" s="253" t="s">
        <v>7</v>
      </c>
      <c r="Z3" s="120"/>
      <c r="AA3" s="114"/>
      <c r="AB3" s="114"/>
    </row>
    <row r="4" spans="1:35" ht="27" customHeight="1">
      <c r="A4" s="254"/>
      <c r="B4" s="254"/>
      <c r="C4" s="254"/>
      <c r="D4" s="254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4"/>
      <c r="Y4" s="254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9"/>
      <c r="G18" s="259"/>
      <c r="H18" s="260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3" t="s">
        <v>6</v>
      </c>
      <c r="Z18" s="253" t="s">
        <v>7</v>
      </c>
      <c r="AA18" s="120"/>
      <c r="AB18" s="114"/>
    </row>
    <row r="19" spans="1:29" ht="26.25" customHeight="1">
      <c r="A19" s="254"/>
      <c r="B19" s="254"/>
      <c r="C19" s="254"/>
      <c r="D19" s="254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4"/>
      <c r="Z19" s="254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MARCH'26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Tapan Kumar</cp:lastModifiedBy>
  <cp:revision/>
  <dcterms:created xsi:type="dcterms:W3CDTF">2025-03-26T11:28:04Z</dcterms:created>
  <dcterms:modified xsi:type="dcterms:W3CDTF">2026-05-05T13:30:43Z</dcterms:modified>
  <cp:category/>
  <cp:contentStatus/>
</cp:coreProperties>
</file>