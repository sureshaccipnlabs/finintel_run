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finintel_run\sample_data\CRYSTAL\time_sheet\"/>
    </mc:Choice>
  </mc:AlternateContent>
  <xr:revisionPtr revIDLastSave="0" documentId="13_ncr:1_{35AC99BF-6ECD-4039-98AA-10D8C2FE3BC0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APRIL 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3" l="1"/>
  <c r="G27" i="23"/>
  <c r="F15" i="23"/>
  <c r="G15" i="23"/>
  <c r="F33" i="23"/>
  <c r="V17" i="23"/>
  <c r="G16" i="23"/>
  <c r="F16" i="23" s="1"/>
  <c r="D48" i="23"/>
  <c r="C44" i="23"/>
  <c r="C45" i="23"/>
  <c r="C46" i="23"/>
  <c r="C47" i="23"/>
  <c r="B44" i="23"/>
  <c r="D44" i="23" s="1"/>
  <c r="B45" i="23"/>
  <c r="D45" i="23" s="1"/>
  <c r="B46" i="23"/>
  <c r="D46" i="23" s="1"/>
  <c r="B47" i="23"/>
  <c r="D47" i="23" s="1"/>
  <c r="L17" i="23"/>
  <c r="B62" i="23"/>
  <c r="C61" i="23"/>
  <c r="C60" i="23"/>
  <c r="B55" i="23"/>
  <c r="C54" i="23"/>
  <c r="C53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28" i="23"/>
  <c r="F28" i="23" s="1"/>
  <c r="E28" i="23"/>
  <c r="D28" i="23" s="1"/>
  <c r="G26" i="23"/>
  <c r="F26" i="23" s="1"/>
  <c r="E26" i="23"/>
  <c r="D26" i="23" s="1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W17" i="23"/>
  <c r="U17" i="23"/>
  <c r="T17" i="23"/>
  <c r="S17" i="23"/>
  <c r="R17" i="23"/>
  <c r="Q17" i="23"/>
  <c r="P17" i="23"/>
  <c r="O17" i="23"/>
  <c r="N17" i="23"/>
  <c r="M17" i="23"/>
  <c r="K17" i="23"/>
  <c r="J17" i="23"/>
  <c r="I17" i="23"/>
  <c r="H17" i="23"/>
  <c r="G10" i="23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43" i="23" l="1"/>
  <c r="B43" i="23"/>
  <c r="D43" i="23" s="1"/>
  <c r="B39" i="23"/>
  <c r="D39" i="23" s="1"/>
  <c r="C55" i="23"/>
  <c r="C41" i="23"/>
  <c r="F34" i="23"/>
  <c r="C40" i="23"/>
  <c r="B40" i="23"/>
  <c r="D40" i="23" s="1"/>
  <c r="B42" i="23"/>
  <c r="D42" i="23" s="1"/>
  <c r="F10" i="23"/>
  <c r="F17" i="23" s="1"/>
  <c r="C62" i="23"/>
  <c r="C64" i="23" s="1"/>
  <c r="B41" i="23"/>
  <c r="D41" i="23" s="1"/>
  <c r="D34" i="23"/>
  <c r="D17" i="23"/>
  <c r="E34" i="23"/>
  <c r="G17" i="23"/>
  <c r="C39" i="23"/>
  <c r="C42" i="23"/>
  <c r="G34" i="23"/>
  <c r="I4" i="23"/>
  <c r="J3" i="23"/>
  <c r="C38" i="23"/>
  <c r="E17" i="23"/>
  <c r="B38" i="23"/>
  <c r="D38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20" i="23" l="1"/>
  <c r="W4" i="23"/>
  <c r="X14" i="23"/>
  <c r="X13" i="23"/>
  <c r="X12" i="23"/>
  <c r="X11" i="23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1" i="23" l="1"/>
  <c r="J20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1" i="23" l="1"/>
  <c r="K20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1" i="23" l="1"/>
  <c r="L20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1" i="23" l="1"/>
  <c r="M20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1" i="23" l="1"/>
  <c r="N20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1" i="23" l="1"/>
  <c r="O20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1" i="23" l="1"/>
  <c r="P20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1" i="23" l="1"/>
  <c r="Q20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1" i="23" l="1"/>
  <c r="R20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1" i="23" l="1"/>
  <c r="S20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1" i="23" l="1"/>
  <c r="T20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1" i="23" l="1"/>
  <c r="U20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1" i="23" l="1"/>
  <c r="V20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20" i="23" l="1"/>
  <c r="V21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1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<sst xmlns="http://schemas.openxmlformats.org/spreadsheetml/2006/main" count="1895" uniqueCount="49">
  <si>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</si>
  <si>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</si>
  <si>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</si>
  <si>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</si>
  <si>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</si>
  <si>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</si>
  <si>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</si>
  <si>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</si>
  <si>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</si>
  <si>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</si>
  <si>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</si>
  <si>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</si>
  <si>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</si>
  <si>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</si>
  <si>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</si>
  <si>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</si>
  <si>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</si>
  <si>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</si>
  <si>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</si>
  <si>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</si>
  <si>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</si>
  <si>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</si>
  <si>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</si>
  <si>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</si>
  <si>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</si>
  <si>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</si>
  <si>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</si>
  <si>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</si>
  <si>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</si>
  <si>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</si>
  <si>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</si>
  <si>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</si>
  <si>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</si>
  <si>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</si>
  <si>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</si>
  <si>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</si>
  <si>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</si>
  <si>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</si>
  <si>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</si>
  <si>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</si>
  <si>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Jay</t>
  </si>
  <si>
    <t>John</t>
  </si>
  <si>
    <t>Yixin Dio</t>
  </si>
  <si>
    <t>Niel</t>
  </si>
  <si>
    <t>Joe</t>
  </si>
  <si>
    <t>David</t>
  </si>
  <si>
    <t>CRYSTAL</t>
  </si>
  <si>
    <t>Rachin</t>
  </si>
  <si>
    <t>Steve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</si>
</sst>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2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30" fillId="18" borderId="8" xfId="0" applyNumberFormat="1" applyFont="1" applyFill="1" applyBorder="1" applyAlignment="1">
      <alignment horizontal="center" vertical="center"/>
    </xf>
    <xf numFmtId="167" fontId="23" fillId="14" borderId="36" xfId="0" applyNumberFormat="1" applyFont="1" applyFill="1" applyBorder="1" applyAlignment="1">
      <alignment horizontal="center" vertical="center"/>
    </xf>
    <xf numFmtId="167" fontId="31" fillId="0" borderId="8" xfId="0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167" fontId="21" fillId="19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2"/>
  <sheetViews>
    <sheetView showGridLines="0" tabSelected="1" topLeftCell="A5" workbookViewId="0">
      <pane xSplit="2" topLeftCell="C1" activePane="topRight" state="frozen"/>
      <selection pane="topRight" activeCell="H24" sqref="H24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61" t="s">
        <v>6</v>
      </c>
      <c r="Y3" s="261" t="s">
        <v>7</v>
      </c>
      <c r="Z3" s="209"/>
      <c r="AA3" s="210"/>
      <c r="AB3" s="114"/>
    </row>
    <row r="4" spans="1:33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40</v>
      </c>
      <c r="B5" s="132" t="s">
        <v>46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40">
        <v>8</v>
      </c>
      <c r="J5" s="183">
        <v>8</v>
      </c>
      <c r="K5" s="183">
        <v>8</v>
      </c>
      <c r="L5" s="250" t="s">
        <v>39</v>
      </c>
      <c r="M5" s="250" t="s">
        <v>39</v>
      </c>
      <c r="N5" s="237"/>
      <c r="O5" s="140">
        <v>8</v>
      </c>
      <c r="P5" s="140">
        <v>8</v>
      </c>
      <c r="Q5" s="183">
        <v>8</v>
      </c>
      <c r="R5" s="183">
        <v>8</v>
      </c>
      <c r="S5" s="250" t="s">
        <v>39</v>
      </c>
      <c r="T5" s="250" t="s">
        <v>39</v>
      </c>
      <c r="U5" s="183">
        <v>8</v>
      </c>
      <c r="V5" s="140">
        <v>8</v>
      </c>
      <c r="W5" s="140">
        <v>8</v>
      </c>
      <c r="X5" s="134">
        <v>1</v>
      </c>
      <c r="Y5" s="136">
        <v>11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46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40">
        <v>8</v>
      </c>
      <c r="J6" s="183">
        <v>8</v>
      </c>
      <c r="K6" s="183">
        <v>8</v>
      </c>
      <c r="L6" s="250" t="s">
        <v>39</v>
      </c>
      <c r="M6" s="250" t="s">
        <v>39</v>
      </c>
      <c r="N6" s="183">
        <v>8</v>
      </c>
      <c r="O6" s="140">
        <v>8</v>
      </c>
      <c r="P6" s="140">
        <v>8</v>
      </c>
      <c r="Q6" s="183">
        <v>8</v>
      </c>
      <c r="R6" s="183">
        <v>8</v>
      </c>
      <c r="S6" s="250" t="s">
        <v>39</v>
      </c>
      <c r="T6" s="250" t="s">
        <v>39</v>
      </c>
      <c r="U6" s="183">
        <v>8</v>
      </c>
      <c r="V6" s="140">
        <v>8</v>
      </c>
      <c r="W6" s="140">
        <v>8</v>
      </c>
      <c r="X6" s="134"/>
      <c r="Y6" s="136">
        <v>11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42</v>
      </c>
      <c r="B7" s="132" t="s">
        <v>46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40">
        <v>8</v>
      </c>
      <c r="J7" s="183">
        <v>8</v>
      </c>
      <c r="K7" s="183">
        <v>8</v>
      </c>
      <c r="L7" s="250" t="s">
        <v>39</v>
      </c>
      <c r="M7" s="250" t="s">
        <v>39</v>
      </c>
      <c r="N7" s="183">
        <v>8</v>
      </c>
      <c r="O7" s="140">
        <v>8</v>
      </c>
      <c r="P7" s="140">
        <v>8</v>
      </c>
      <c r="Q7" s="183">
        <v>8</v>
      </c>
      <c r="R7" s="183">
        <v>8</v>
      </c>
      <c r="S7" s="250" t="s">
        <v>39</v>
      </c>
      <c r="T7" s="250" t="s">
        <v>39</v>
      </c>
      <c r="U7" s="237"/>
      <c r="V7" s="140">
        <v>8</v>
      </c>
      <c r="W7" s="140">
        <v>8</v>
      </c>
      <c r="X7" s="134"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43</v>
      </c>
      <c r="B8" s="132" t="s">
        <v>46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40">
        <v>8</v>
      </c>
      <c r="J8" s="183">
        <v>8</v>
      </c>
      <c r="K8" s="243">
        <v>8</v>
      </c>
      <c r="L8" s="250" t="s">
        <v>39</v>
      </c>
      <c r="M8" s="250" t="s">
        <v>39</v>
      </c>
      <c r="N8" s="243">
        <v>8</v>
      </c>
      <c r="O8" s="140">
        <v>8</v>
      </c>
      <c r="P8" s="140">
        <v>8</v>
      </c>
      <c r="Q8" s="183">
        <v>8</v>
      </c>
      <c r="R8" s="183">
        <v>8</v>
      </c>
      <c r="S8" s="250" t="s">
        <v>39</v>
      </c>
      <c r="T8" s="250" t="s">
        <v>39</v>
      </c>
      <c r="U8" s="183">
        <v>8</v>
      </c>
      <c r="V8" s="140">
        <v>8</v>
      </c>
      <c r="W8" s="140">
        <v>8</v>
      </c>
      <c r="X8" s="134"/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44</v>
      </c>
      <c r="B9" s="132" t="s">
        <v>46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40">
        <v>8</v>
      </c>
      <c r="J9" s="241">
        <v>8</v>
      </c>
      <c r="K9" s="183">
        <v>8</v>
      </c>
      <c r="L9" s="250" t="s">
        <v>39</v>
      </c>
      <c r="M9" s="250" t="s">
        <v>39</v>
      </c>
      <c r="N9" s="183">
        <v>8</v>
      </c>
      <c r="O9" s="140">
        <v>8</v>
      </c>
      <c r="P9" s="140">
        <v>8</v>
      </c>
      <c r="Q9" s="183">
        <v>8</v>
      </c>
      <c r="R9" s="183">
        <v>8</v>
      </c>
      <c r="S9" s="250" t="s">
        <v>39</v>
      </c>
      <c r="T9" s="250" t="s">
        <v>39</v>
      </c>
      <c r="U9" s="183">
        <v>8</v>
      </c>
      <c r="V9" s="140">
        <v>8</v>
      </c>
      <c r="W9" s="140">
        <v>8</v>
      </c>
      <c r="X9" s="134"/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45</v>
      </c>
      <c r="B10" s="132" t="s">
        <v>46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40">
        <v>8</v>
      </c>
      <c r="J10" s="241">
        <v>8</v>
      </c>
      <c r="K10" s="241">
        <v>8</v>
      </c>
      <c r="L10" s="250" t="s">
        <v>39</v>
      </c>
      <c r="M10" s="250" t="s">
        <v>39</v>
      </c>
      <c r="N10" s="241">
        <v>8</v>
      </c>
      <c r="O10" s="140">
        <v>8</v>
      </c>
      <c r="P10" s="140">
        <v>8</v>
      </c>
      <c r="Q10" s="241">
        <v>8</v>
      </c>
      <c r="R10" s="241">
        <v>8</v>
      </c>
      <c r="S10" s="250" t="s">
        <v>39</v>
      </c>
      <c r="T10" s="250" t="s">
        <v>39</v>
      </c>
      <c r="U10" s="241">
        <v>8</v>
      </c>
      <c r="V10" s="140">
        <v>8</v>
      </c>
      <c r="W10" s="140">
        <v>8</v>
      </c>
      <c r="X10" s="134"/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46</v>
      </c>
      <c r="C11" s="138">
        <v>45629</v>
      </c>
      <c r="D11" s="140"/>
      <c r="E11" s="140"/>
      <c r="F11" s="140"/>
      <c r="G11" s="140"/>
      <c r="H11" s="135">
        <v>0</v>
      </c>
      <c r="I11" s="140"/>
      <c r="J11" s="140"/>
      <c r="K11" s="140"/>
      <c r="L11" s="250" t="s">
        <v>39</v>
      </c>
      <c r="M11" s="250" t="s">
        <v>39</v>
      </c>
      <c r="N11" s="140"/>
      <c r="O11" s="140"/>
      <c r="P11" s="140"/>
      <c r="Q11" s="140"/>
      <c r="R11" s="140"/>
      <c r="S11" s="250" t="s">
        <v>39</v>
      </c>
      <c r="T11" s="250" t="s">
        <v>39</v>
      </c>
      <c r="U11" s="140"/>
      <c r="V11" s="140">
        <v>8</v>
      </c>
      <c r="W11" s="140"/>
      <c r="X11" s="134">
        <f t="shared" ref="X11:X14" si="6">Y11-COUNTA(I11:W11)</f>
        <v>6</v>
      </c>
      <c r="Y11" s="136">
        <v>11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46</v>
      </c>
      <c r="C12" s="138">
        <v>45630</v>
      </c>
      <c r="D12" s="140"/>
      <c r="E12" s="140"/>
      <c r="F12" s="140"/>
      <c r="G12" s="140"/>
      <c r="H12" s="135">
        <v>0</v>
      </c>
      <c r="I12" s="140"/>
      <c r="J12" s="140"/>
      <c r="K12" s="140"/>
      <c r="L12" s="250" t="s">
        <v>39</v>
      </c>
      <c r="M12" s="250" t="s">
        <v>39</v>
      </c>
      <c r="N12" s="140"/>
      <c r="O12" s="140"/>
      <c r="P12" s="140"/>
      <c r="Q12" s="140"/>
      <c r="R12" s="140"/>
      <c r="S12" s="250" t="s">
        <v>39</v>
      </c>
      <c r="T12" s="250" t="s">
        <v>39</v>
      </c>
      <c r="U12" s="140"/>
      <c r="V12" s="140">
        <v>8</v>
      </c>
      <c r="W12" s="140"/>
      <c r="X12" s="134">
        <f t="shared" si="6"/>
        <v>6</v>
      </c>
      <c r="Y12" s="136">
        <v>11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46</v>
      </c>
      <c r="C13" s="138">
        <v>45631</v>
      </c>
      <c r="D13" s="140"/>
      <c r="E13" s="140"/>
      <c r="F13" s="140"/>
      <c r="G13" s="140"/>
      <c r="H13" s="135">
        <v>0</v>
      </c>
      <c r="I13" s="140"/>
      <c r="J13" s="140"/>
      <c r="K13" s="140"/>
      <c r="L13" s="250" t="s">
        <v>39</v>
      </c>
      <c r="M13" s="250" t="s">
        <v>39</v>
      </c>
      <c r="N13" s="140"/>
      <c r="O13" s="140"/>
      <c r="P13" s="140"/>
      <c r="Q13" s="140"/>
      <c r="R13" s="140"/>
      <c r="S13" s="250" t="s">
        <v>39</v>
      </c>
      <c r="T13" s="250" t="s">
        <v>39</v>
      </c>
      <c r="U13" s="140"/>
      <c r="V13" s="140">
        <v>8</v>
      </c>
      <c r="W13" s="140"/>
      <c r="X13" s="134">
        <f t="shared" si="6"/>
        <v>6</v>
      </c>
      <c r="Y13" s="136">
        <v>11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46</v>
      </c>
      <c r="C14" s="138">
        <v>45632</v>
      </c>
      <c r="D14" s="140"/>
      <c r="E14" s="140"/>
      <c r="F14" s="140"/>
      <c r="G14" s="140"/>
      <c r="H14" s="135">
        <v>0</v>
      </c>
      <c r="I14" s="140"/>
      <c r="J14" s="140"/>
      <c r="K14" s="140"/>
      <c r="L14" s="250" t="s">
        <v>39</v>
      </c>
      <c r="M14" s="250" t="s">
        <v>39</v>
      </c>
      <c r="N14" s="140"/>
      <c r="O14" s="140"/>
      <c r="P14" s="140"/>
      <c r="Q14" s="140"/>
      <c r="R14" s="140"/>
      <c r="S14" s="250" t="s">
        <v>39</v>
      </c>
      <c r="T14" s="250" t="s">
        <v>39</v>
      </c>
      <c r="U14" s="140"/>
      <c r="V14" s="140">
        <v>8</v>
      </c>
      <c r="W14" s="140"/>
      <c r="X14" s="134">
        <f t="shared" si="6"/>
        <v>6</v>
      </c>
      <c r="Y14" s="136">
        <v>11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47</v>
      </c>
      <c r="B15" s="132" t="s">
        <v>46</v>
      </c>
      <c r="C15" s="138">
        <v>46117</v>
      </c>
      <c r="D15" s="140">
        <v>64</v>
      </c>
      <c r="E15" s="140">
        <v>64</v>
      </c>
      <c r="F15" s="140">
        <f>G15+H15</f>
        <v>64</v>
      </c>
      <c r="G15" s="140">
        <f>SUM(N15:W15)</f>
        <v>64</v>
      </c>
      <c r="H15" s="135">
        <v>0</v>
      </c>
      <c r="I15" s="272"/>
      <c r="J15" s="272"/>
      <c r="K15" s="272"/>
      <c r="L15" s="250" t="s">
        <v>39</v>
      </c>
      <c r="M15" s="250" t="s">
        <v>39</v>
      </c>
      <c r="N15" s="140">
        <v>8</v>
      </c>
      <c r="O15" s="140">
        <v>8</v>
      </c>
      <c r="P15" s="140">
        <v>8</v>
      </c>
      <c r="Q15" s="140">
        <v>8</v>
      </c>
      <c r="R15" s="140">
        <v>8</v>
      </c>
      <c r="S15" s="250" t="s">
        <v>39</v>
      </c>
      <c r="T15" s="250" t="s">
        <v>39</v>
      </c>
      <c r="U15" s="140">
        <v>8</v>
      </c>
      <c r="V15" s="140">
        <v>8</v>
      </c>
      <c r="W15" s="140">
        <v>8</v>
      </c>
      <c r="X15" s="134"/>
      <c r="Y15" s="136">
        <v>11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139" t="s">
        <v>48</v>
      </c>
      <c r="B16" s="132" t="s">
        <v>46</v>
      </c>
      <c r="C16" s="138">
        <v>46054</v>
      </c>
      <c r="D16" s="252">
        <v>44</v>
      </c>
      <c r="E16" s="252">
        <v>44</v>
      </c>
      <c r="F16" s="252">
        <f>G16+H16</f>
        <v>44</v>
      </c>
      <c r="G16" s="252">
        <f>SUM(I16:W16)</f>
        <v>44</v>
      </c>
      <c r="H16" s="135">
        <v>0</v>
      </c>
      <c r="I16" s="140">
        <v>4</v>
      </c>
      <c r="J16" s="140">
        <v>4</v>
      </c>
      <c r="K16" s="140">
        <v>4</v>
      </c>
      <c r="L16" s="250" t="s">
        <v>39</v>
      </c>
      <c r="M16" s="250" t="s">
        <v>39</v>
      </c>
      <c r="N16" s="140">
        <v>4</v>
      </c>
      <c r="O16" s="140">
        <v>4</v>
      </c>
      <c r="P16" s="140">
        <v>4</v>
      </c>
      <c r="Q16" s="140">
        <v>4</v>
      </c>
      <c r="R16" s="140">
        <v>4</v>
      </c>
      <c r="S16" s="250"/>
      <c r="T16" s="250"/>
      <c r="U16" s="140">
        <v>4</v>
      </c>
      <c r="V16" s="140">
        <v>4</v>
      </c>
      <c r="W16" s="140">
        <v>4</v>
      </c>
      <c r="X16" s="134"/>
      <c r="Y16" s="136">
        <v>11</v>
      </c>
      <c r="Z16" s="209"/>
      <c r="AA16" s="114"/>
      <c r="AB16" s="130"/>
      <c r="AC16" s="130"/>
      <c r="AD16" s="130"/>
      <c r="AE16" s="130"/>
      <c r="AF16" s="130"/>
      <c r="AG16" s="130"/>
    </row>
    <row r="17" spans="1:35" ht="12.75" customHeight="1">
      <c r="A17" s="223"/>
      <c r="B17" s="223"/>
      <c r="C17" s="223"/>
      <c r="D17" s="224">
        <f t="shared" ref="D17:W17" si="7">SUM(D5:D14)</f>
        <v>528</v>
      </c>
      <c r="E17" s="224">
        <f t="shared" si="7"/>
        <v>528</v>
      </c>
      <c r="F17" s="224">
        <f t="shared" si="7"/>
        <v>512</v>
      </c>
      <c r="G17" s="224">
        <f t="shared" si="7"/>
        <v>512</v>
      </c>
      <c r="H17" s="224">
        <f t="shared" si="7"/>
        <v>0</v>
      </c>
      <c r="I17" s="224">
        <f t="shared" si="7"/>
        <v>48</v>
      </c>
      <c r="J17" s="224">
        <f t="shared" si="7"/>
        <v>48</v>
      </c>
      <c r="K17" s="224">
        <f t="shared" si="7"/>
        <v>48</v>
      </c>
      <c r="L17" s="224">
        <f>SUM(L5:L15)</f>
        <v>0</v>
      </c>
      <c r="M17" s="224">
        <f t="shared" si="7"/>
        <v>0</v>
      </c>
      <c r="N17" s="224">
        <f t="shared" si="7"/>
        <v>40</v>
      </c>
      <c r="O17" s="224">
        <f t="shared" si="7"/>
        <v>48</v>
      </c>
      <c r="P17" s="224">
        <f t="shared" si="7"/>
        <v>48</v>
      </c>
      <c r="Q17" s="224">
        <f t="shared" si="7"/>
        <v>48</v>
      </c>
      <c r="R17" s="224">
        <f t="shared" si="7"/>
        <v>48</v>
      </c>
      <c r="S17" s="224">
        <f t="shared" si="7"/>
        <v>0</v>
      </c>
      <c r="T17" s="224">
        <f t="shared" si="7"/>
        <v>0</v>
      </c>
      <c r="U17" s="224">
        <f t="shared" si="7"/>
        <v>40</v>
      </c>
      <c r="V17" s="224">
        <f>SUM(V5:V16)</f>
        <v>92</v>
      </c>
      <c r="W17" s="224">
        <f t="shared" si="7"/>
        <v>48</v>
      </c>
      <c r="X17" s="224"/>
      <c r="Y17" s="224"/>
      <c r="Z17" s="209"/>
      <c r="AA17" s="114"/>
      <c r="AB17" s="130"/>
      <c r="AC17" s="130"/>
      <c r="AD17" s="130"/>
      <c r="AE17" s="130"/>
      <c r="AF17" s="130"/>
      <c r="AG17" s="130"/>
    </row>
    <row r="18" spans="1:35" ht="15" customHeight="1">
      <c r="A18" s="209"/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120"/>
      <c r="AA18" s="114"/>
      <c r="AB18" s="114"/>
      <c r="AC18" s="114"/>
      <c r="AD18" s="130"/>
      <c r="AE18" s="130"/>
      <c r="AF18" s="130"/>
      <c r="AG18" s="130"/>
      <c r="AH18" s="130"/>
      <c r="AI18" s="130"/>
    </row>
    <row r="19" spans="1:35" ht="15" customHeight="1">
      <c r="A19" s="225" t="s">
        <v>22</v>
      </c>
      <c r="B19" s="226"/>
      <c r="C19" s="226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114"/>
      <c r="AB19" s="120"/>
      <c r="AC19" s="114"/>
    </row>
    <row r="20" spans="1:35" ht="35.25" customHeight="1">
      <c r="A20" s="261" t="s">
        <v>1</v>
      </c>
      <c r="B20" s="261" t="s">
        <v>2</v>
      </c>
      <c r="C20" s="261" t="s">
        <v>3</v>
      </c>
      <c r="D20" s="261" t="s">
        <v>4</v>
      </c>
      <c r="E20" s="263" t="s">
        <v>5</v>
      </c>
      <c r="F20" s="262"/>
      <c r="G20" s="262"/>
      <c r="H20" s="262"/>
      <c r="I20" s="141">
        <f>W3+1</f>
        <v>46128</v>
      </c>
      <c r="J20" s="141">
        <f t="shared" ref="J20:U20" si="8">I20+1</f>
        <v>46129</v>
      </c>
      <c r="K20" s="141">
        <f t="shared" si="8"/>
        <v>46130</v>
      </c>
      <c r="L20" s="141">
        <f t="shared" si="8"/>
        <v>46131</v>
      </c>
      <c r="M20" s="141">
        <f t="shared" si="8"/>
        <v>46132</v>
      </c>
      <c r="N20" s="141">
        <f t="shared" si="8"/>
        <v>46133</v>
      </c>
      <c r="O20" s="141">
        <f t="shared" si="8"/>
        <v>46134</v>
      </c>
      <c r="P20" s="141">
        <f t="shared" si="8"/>
        <v>46135</v>
      </c>
      <c r="Q20" s="141">
        <f t="shared" si="8"/>
        <v>46136</v>
      </c>
      <c r="R20" s="141">
        <f t="shared" si="8"/>
        <v>46137</v>
      </c>
      <c r="S20" s="141">
        <f t="shared" si="8"/>
        <v>46138</v>
      </c>
      <c r="T20" s="141">
        <f t="shared" si="8"/>
        <v>46139</v>
      </c>
      <c r="U20" s="141">
        <f t="shared" si="8"/>
        <v>46140</v>
      </c>
      <c r="V20" s="141">
        <f t="shared" ref="V20" si="9">U20+1</f>
        <v>46141</v>
      </c>
      <c r="W20" s="141">
        <f t="shared" ref="W20" si="10">V20+1</f>
        <v>46142</v>
      </c>
      <c r="X20" s="261" t="s">
        <v>6</v>
      </c>
      <c r="Y20" s="261" t="s">
        <v>7</v>
      </c>
      <c r="Z20" s="209"/>
      <c r="AA20" s="114"/>
    </row>
    <row r="21" spans="1:35" ht="26.25" customHeight="1">
      <c r="A21" s="262"/>
      <c r="B21" s="262"/>
      <c r="C21" s="262"/>
      <c r="D21" s="262"/>
      <c r="E21" s="219" t="s">
        <v>8</v>
      </c>
      <c r="F21" s="220" t="s">
        <v>9</v>
      </c>
      <c r="G21" s="165" t="s">
        <v>10</v>
      </c>
      <c r="H21" s="165" t="s">
        <v>11</v>
      </c>
      <c r="I21" s="222" t="str">
        <f t="shared" ref="I21:U21" si="11">IF(I20="","",TEXT(WEEKDAY(I20), "ddd"))</f>
        <v>Thu</v>
      </c>
      <c r="J21" s="222" t="str">
        <f t="shared" si="11"/>
        <v>Fri</v>
      </c>
      <c r="K21" s="222" t="str">
        <f t="shared" si="11"/>
        <v>Sat</v>
      </c>
      <c r="L21" s="222" t="str">
        <f t="shared" si="11"/>
        <v>Sun</v>
      </c>
      <c r="M21" s="222" t="str">
        <f t="shared" si="11"/>
        <v>Mon</v>
      </c>
      <c r="N21" s="222" t="str">
        <f t="shared" si="11"/>
        <v>Tue</v>
      </c>
      <c r="O21" s="222" t="str">
        <f t="shared" si="11"/>
        <v>Wed</v>
      </c>
      <c r="P21" s="127" t="str">
        <f t="shared" si="11"/>
        <v>Thu</v>
      </c>
      <c r="Q21" s="127" t="str">
        <f t="shared" si="11"/>
        <v>Fri</v>
      </c>
      <c r="R21" s="222" t="str">
        <f t="shared" si="11"/>
        <v>Sat</v>
      </c>
      <c r="S21" s="222" t="str">
        <f t="shared" si="11"/>
        <v>Sun</v>
      </c>
      <c r="T21" s="222" t="str">
        <f t="shared" si="11"/>
        <v>Mon</v>
      </c>
      <c r="U21" s="222" t="str">
        <f t="shared" si="11"/>
        <v>Tue</v>
      </c>
      <c r="V21" s="222" t="str">
        <f t="shared" ref="V21:W21" si="12">IF(V20="","",TEXT(WEEKDAY(V20), "ddd"))</f>
        <v>Wed</v>
      </c>
      <c r="W21" s="222" t="str">
        <f t="shared" si="12"/>
        <v>Thu</v>
      </c>
      <c r="X21" s="262"/>
      <c r="Y21" s="262"/>
      <c r="Z21" s="209"/>
      <c r="AA21" s="114"/>
    </row>
    <row r="22" spans="1:35" ht="12.75" customHeight="1">
      <c r="A22" s="131" t="s">
        <v>40</v>
      </c>
      <c r="B22" s="132" t="s">
        <v>46</v>
      </c>
      <c r="C22" s="133">
        <v>43437</v>
      </c>
      <c r="D22" s="134">
        <f t="shared" ref="D22:D28" si="13">E22</f>
        <v>88</v>
      </c>
      <c r="E22" s="134">
        <f>Y22*8</f>
        <v>88</v>
      </c>
      <c r="F22" s="134">
        <f t="shared" ref="F22:F28" si="14">G22+H22</f>
        <v>88</v>
      </c>
      <c r="G22" s="134">
        <f>SUM(I22:W22)</f>
        <v>88</v>
      </c>
      <c r="H22" s="135">
        <v>0</v>
      </c>
      <c r="I22" s="180">
        <v>8</v>
      </c>
      <c r="J22" s="183">
        <v>8</v>
      </c>
      <c r="K22" s="250" t="s">
        <v>39</v>
      </c>
      <c r="L22" s="250" t="s">
        <v>39</v>
      </c>
      <c r="M22" s="180">
        <v>8</v>
      </c>
      <c r="N22" s="207">
        <v>8</v>
      </c>
      <c r="O22" s="207">
        <v>8</v>
      </c>
      <c r="P22" s="180">
        <v>8</v>
      </c>
      <c r="Q22" s="183">
        <v>8</v>
      </c>
      <c r="R22" s="250" t="s">
        <v>39</v>
      </c>
      <c r="S22" s="250" t="s">
        <v>39</v>
      </c>
      <c r="T22" s="180">
        <v>8</v>
      </c>
      <c r="U22" s="207">
        <v>8</v>
      </c>
      <c r="V22" s="140">
        <v>8</v>
      </c>
      <c r="W22" s="183">
        <v>8</v>
      </c>
      <c r="X22" s="134"/>
      <c r="Y22" s="136">
        <v>11</v>
      </c>
      <c r="Z22" s="209"/>
      <c r="AA22" s="114"/>
    </row>
    <row r="23" spans="1:35" ht="12.75" customHeight="1">
      <c r="A23" s="131" t="s">
        <v>41</v>
      </c>
      <c r="B23" s="132" t="s">
        <v>46</v>
      </c>
      <c r="C23" s="133">
        <v>45028</v>
      </c>
      <c r="D23" s="134">
        <f t="shared" si="13"/>
        <v>88</v>
      </c>
      <c r="E23" s="134">
        <f>Y23*8</f>
        <v>88</v>
      </c>
      <c r="F23" s="134">
        <f t="shared" si="14"/>
        <v>80</v>
      </c>
      <c r="G23" s="134">
        <f>SUM(I23:W23)</f>
        <v>80</v>
      </c>
      <c r="H23" s="135">
        <v>0</v>
      </c>
      <c r="I23" s="180">
        <v>8</v>
      </c>
      <c r="J23" s="180">
        <v>8</v>
      </c>
      <c r="K23" s="250" t="s">
        <v>39</v>
      </c>
      <c r="L23" s="250" t="s">
        <v>39</v>
      </c>
      <c r="M23" s="180">
        <v>8</v>
      </c>
      <c r="N23" s="207">
        <v>8</v>
      </c>
      <c r="O23" s="207">
        <v>8</v>
      </c>
      <c r="P23" s="186"/>
      <c r="Q23" s="180">
        <v>8</v>
      </c>
      <c r="R23" s="250" t="s">
        <v>39</v>
      </c>
      <c r="S23" s="250" t="s">
        <v>39</v>
      </c>
      <c r="T23" s="180">
        <v>8</v>
      </c>
      <c r="U23" s="207">
        <v>8</v>
      </c>
      <c r="V23" s="140">
        <v>8</v>
      </c>
      <c r="W23" s="180">
        <v>8</v>
      </c>
      <c r="X23" s="134">
        <v>1</v>
      </c>
      <c r="Y23" s="136">
        <v>11</v>
      </c>
      <c r="Z23" s="209"/>
      <c r="AA23" s="114"/>
    </row>
    <row r="24" spans="1:35" ht="12.75" customHeight="1">
      <c r="A24" s="131" t="s">
        <v>42</v>
      </c>
      <c r="B24" s="132" t="s">
        <v>46</v>
      </c>
      <c r="C24" s="133">
        <v>43395</v>
      </c>
      <c r="D24" s="134">
        <f t="shared" si="13"/>
        <v>88</v>
      </c>
      <c r="E24" s="134">
        <f>Y24*8</f>
        <v>88</v>
      </c>
      <c r="F24" s="134">
        <f t="shared" si="14"/>
        <v>88</v>
      </c>
      <c r="G24" s="134">
        <f>SUM(I24:W24)</f>
        <v>88</v>
      </c>
      <c r="H24" s="135">
        <v>0</v>
      </c>
      <c r="I24" s="180">
        <v>8</v>
      </c>
      <c r="J24" s="180">
        <v>8</v>
      </c>
      <c r="K24" s="250" t="s">
        <v>39</v>
      </c>
      <c r="L24" s="250" t="s">
        <v>39</v>
      </c>
      <c r="M24" s="180">
        <v>8</v>
      </c>
      <c r="N24" s="207">
        <v>8</v>
      </c>
      <c r="O24" s="207">
        <v>8</v>
      </c>
      <c r="P24" s="180">
        <v>8</v>
      </c>
      <c r="Q24" s="180">
        <v>8</v>
      </c>
      <c r="R24" s="250" t="s">
        <v>39</v>
      </c>
      <c r="S24" s="250" t="s">
        <v>39</v>
      </c>
      <c r="T24" s="180">
        <v>8</v>
      </c>
      <c r="U24" s="207">
        <v>8</v>
      </c>
      <c r="V24" s="140">
        <v>8</v>
      </c>
      <c r="W24" s="180">
        <v>8</v>
      </c>
      <c r="X24" s="134"/>
      <c r="Y24" s="136">
        <v>11</v>
      </c>
      <c r="Z24" s="209"/>
      <c r="AA24" s="114"/>
    </row>
    <row r="25" spans="1:35" ht="12.75" customHeight="1">
      <c r="A25" s="131" t="s">
        <v>43</v>
      </c>
      <c r="B25" s="132" t="s">
        <v>46</v>
      </c>
      <c r="C25" s="138">
        <v>43741</v>
      </c>
      <c r="D25" s="134">
        <f t="shared" si="13"/>
        <v>88</v>
      </c>
      <c r="E25" s="134">
        <f>Y25*8</f>
        <v>88</v>
      </c>
      <c r="F25" s="134">
        <f t="shared" si="14"/>
        <v>80</v>
      </c>
      <c r="G25" s="134">
        <f>SUM(I25:W25)</f>
        <v>80</v>
      </c>
      <c r="H25" s="135">
        <v>0</v>
      </c>
      <c r="I25" s="180">
        <v>8</v>
      </c>
      <c r="J25" s="180">
        <v>8</v>
      </c>
      <c r="K25" s="250" t="s">
        <v>39</v>
      </c>
      <c r="L25" s="250" t="s">
        <v>39</v>
      </c>
      <c r="M25" s="180">
        <v>8</v>
      </c>
      <c r="N25" s="207">
        <v>8</v>
      </c>
      <c r="O25" s="207">
        <v>8</v>
      </c>
      <c r="P25" s="183">
        <v>8</v>
      </c>
      <c r="Q25" s="180">
        <v>8</v>
      </c>
      <c r="R25" s="250" t="s">
        <v>39</v>
      </c>
      <c r="S25" s="250" t="s">
        <v>39</v>
      </c>
      <c r="T25" s="186"/>
      <c r="U25" s="207">
        <v>8</v>
      </c>
      <c r="V25" s="140">
        <v>8</v>
      </c>
      <c r="W25" s="183">
        <v>8</v>
      </c>
      <c r="X25" s="134">
        <v>1</v>
      </c>
      <c r="Y25" s="136">
        <v>11</v>
      </c>
      <c r="Z25" s="209"/>
      <c r="AA25" s="114"/>
    </row>
    <row r="26" spans="1:35" ht="12.75" customHeight="1">
      <c r="A26" s="139" t="s">
        <v>44</v>
      </c>
      <c r="B26" s="132" t="s">
        <v>46</v>
      </c>
      <c r="C26" s="138">
        <v>43731</v>
      </c>
      <c r="D26" s="134">
        <f t="shared" si="13"/>
        <v>88</v>
      </c>
      <c r="E26" s="134">
        <f>Y26*8</f>
        <v>88</v>
      </c>
      <c r="F26" s="134">
        <f t="shared" si="14"/>
        <v>88</v>
      </c>
      <c r="G26" s="134">
        <f>SUM(I26:W26)</f>
        <v>88</v>
      </c>
      <c r="H26" s="135">
        <v>0</v>
      </c>
      <c r="I26" s="180">
        <v>8</v>
      </c>
      <c r="J26" s="180">
        <v>8</v>
      </c>
      <c r="K26" s="250" t="s">
        <v>39</v>
      </c>
      <c r="L26" s="250" t="s">
        <v>39</v>
      </c>
      <c r="M26" s="180">
        <v>8</v>
      </c>
      <c r="N26" s="207">
        <v>8</v>
      </c>
      <c r="O26" s="207">
        <v>8</v>
      </c>
      <c r="P26" s="183">
        <v>8</v>
      </c>
      <c r="Q26" s="180">
        <v>8</v>
      </c>
      <c r="R26" s="250" t="s">
        <v>39</v>
      </c>
      <c r="S26" s="250" t="s">
        <v>39</v>
      </c>
      <c r="T26" s="180">
        <v>8</v>
      </c>
      <c r="U26" s="207">
        <v>8</v>
      </c>
      <c r="V26" s="140">
        <v>8</v>
      </c>
      <c r="W26" s="180">
        <v>8</v>
      </c>
      <c r="X26" s="134"/>
      <c r="Y26" s="136">
        <v>11</v>
      </c>
      <c r="Z26" s="209"/>
      <c r="AA26" s="114"/>
    </row>
    <row r="27" spans="1:35" ht="12.75" customHeight="1">
      <c r="A27" s="139" t="s">
        <v>47</v>
      </c>
      <c r="B27" s="132" t="s">
        <v>46</v>
      </c>
      <c r="C27" s="138">
        <v>46117</v>
      </c>
      <c r="D27" s="134">
        <v>88</v>
      </c>
      <c r="E27" s="134">
        <v>88</v>
      </c>
      <c r="F27" s="134">
        <v>88</v>
      </c>
      <c r="G27" s="134">
        <f>SUM(I27:W27)</f>
        <v>88</v>
      </c>
      <c r="H27" s="135">
        <v>0</v>
      </c>
      <c r="I27" s="181">
        <v>8</v>
      </c>
      <c r="J27" s="181">
        <v>8</v>
      </c>
      <c r="K27" s="250" t="s">
        <v>39</v>
      </c>
      <c r="L27" s="250" t="s">
        <v>39</v>
      </c>
      <c r="M27" s="251">
        <v>8</v>
      </c>
      <c r="N27" s="207">
        <v>8</v>
      </c>
      <c r="O27" s="207">
        <v>8</v>
      </c>
      <c r="P27" s="241">
        <v>8</v>
      </c>
      <c r="Q27" s="181">
        <v>8</v>
      </c>
      <c r="R27" s="250" t="s">
        <v>39</v>
      </c>
      <c r="S27" s="250" t="s">
        <v>39</v>
      </c>
      <c r="T27" s="181">
        <v>8</v>
      </c>
      <c r="U27" s="207">
        <v>8</v>
      </c>
      <c r="V27" s="140">
        <v>8</v>
      </c>
      <c r="W27" s="181">
        <v>8</v>
      </c>
      <c r="X27" s="134"/>
      <c r="Y27" s="136">
        <v>11</v>
      </c>
      <c r="Z27" s="209"/>
      <c r="AA27" s="114"/>
    </row>
    <row r="28" spans="1:35" ht="12.75" customHeight="1">
      <c r="A28" s="139" t="s">
        <v>45</v>
      </c>
      <c r="B28" s="132" t="s">
        <v>46</v>
      </c>
      <c r="C28" s="138">
        <v>45628</v>
      </c>
      <c r="D28" s="134">
        <f t="shared" si="13"/>
        <v>88</v>
      </c>
      <c r="E28" s="134">
        <f>Y28*8</f>
        <v>88</v>
      </c>
      <c r="F28" s="134">
        <f t="shared" si="14"/>
        <v>80</v>
      </c>
      <c r="G28" s="134">
        <f>SUM(I28:W28)</f>
        <v>80</v>
      </c>
      <c r="H28" s="135">
        <v>0</v>
      </c>
      <c r="I28" s="241">
        <v>8</v>
      </c>
      <c r="J28" s="241">
        <v>8</v>
      </c>
      <c r="K28" s="250" t="s">
        <v>39</v>
      </c>
      <c r="L28" s="250" t="s">
        <v>39</v>
      </c>
      <c r="M28" s="237"/>
      <c r="N28" s="207">
        <v>8</v>
      </c>
      <c r="O28" s="207">
        <v>8</v>
      </c>
      <c r="P28" s="241">
        <v>8</v>
      </c>
      <c r="Q28" s="241">
        <v>8</v>
      </c>
      <c r="R28" s="250" t="s">
        <v>39</v>
      </c>
      <c r="S28" s="250" t="s">
        <v>39</v>
      </c>
      <c r="T28" s="241">
        <v>8</v>
      </c>
      <c r="U28" s="207">
        <v>8</v>
      </c>
      <c r="V28" s="140">
        <v>8</v>
      </c>
      <c r="W28" s="241">
        <v>8</v>
      </c>
      <c r="X28" s="134">
        <v>1</v>
      </c>
      <c r="Y28" s="136">
        <v>11</v>
      </c>
      <c r="Z28" s="209"/>
      <c r="AA28" s="114"/>
    </row>
    <row r="29" spans="1:35" ht="12.75" hidden="1" customHeight="1">
      <c r="A29" s="140"/>
      <c r="B29" s="132" t="s">
        <v>46</v>
      </c>
      <c r="C29" s="138">
        <v>45629</v>
      </c>
      <c r="D29" s="140"/>
      <c r="E29" s="140"/>
      <c r="F29" s="140"/>
      <c r="G29" s="140"/>
      <c r="H29" s="135">
        <v>0</v>
      </c>
      <c r="I29" s="140"/>
      <c r="J29" s="140"/>
      <c r="K29" s="250" t="s">
        <v>39</v>
      </c>
      <c r="L29" s="250" t="s">
        <v>39</v>
      </c>
      <c r="M29" s="140"/>
      <c r="N29" s="140"/>
      <c r="O29" s="140"/>
      <c r="P29" s="140"/>
      <c r="Q29" s="140"/>
      <c r="R29" s="250" t="s">
        <v>39</v>
      </c>
      <c r="S29" s="250" t="s">
        <v>39</v>
      </c>
      <c r="T29" s="140"/>
      <c r="U29" s="140"/>
      <c r="V29" s="140"/>
      <c r="W29" s="140"/>
      <c r="X29" s="134"/>
      <c r="Y29" s="136">
        <v>11</v>
      </c>
      <c r="Z29" s="209"/>
      <c r="AA29" s="114"/>
    </row>
    <row r="30" spans="1:35" ht="12.75" hidden="1" customHeight="1">
      <c r="A30" s="140"/>
      <c r="B30" s="132" t="s">
        <v>46</v>
      </c>
      <c r="C30" s="138">
        <v>45630</v>
      </c>
      <c r="D30" s="140"/>
      <c r="E30" s="140"/>
      <c r="F30" s="140"/>
      <c r="G30" s="140"/>
      <c r="H30" s="135">
        <v>0</v>
      </c>
      <c r="I30" s="140"/>
      <c r="J30" s="140"/>
      <c r="K30" s="250" t="s">
        <v>39</v>
      </c>
      <c r="L30" s="250" t="s">
        <v>39</v>
      </c>
      <c r="M30" s="140"/>
      <c r="N30" s="140"/>
      <c r="O30" s="140"/>
      <c r="P30" s="140"/>
      <c r="Q30" s="140"/>
      <c r="R30" s="250" t="s">
        <v>39</v>
      </c>
      <c r="S30" s="250" t="s">
        <v>39</v>
      </c>
      <c r="T30" s="140"/>
      <c r="U30" s="140"/>
      <c r="V30" s="140"/>
      <c r="W30" s="140"/>
      <c r="X30" s="134"/>
      <c r="Y30" s="136">
        <v>11</v>
      </c>
      <c r="Z30" s="209"/>
      <c r="AA30" s="114"/>
    </row>
    <row r="31" spans="1:35" ht="12.75" hidden="1" customHeight="1">
      <c r="A31" s="140"/>
      <c r="B31" s="132" t="s">
        <v>46</v>
      </c>
      <c r="C31" s="138">
        <v>45631</v>
      </c>
      <c r="D31" s="140"/>
      <c r="E31" s="140"/>
      <c r="F31" s="140"/>
      <c r="G31" s="140"/>
      <c r="H31" s="135">
        <v>0</v>
      </c>
      <c r="I31" s="140"/>
      <c r="J31" s="140"/>
      <c r="K31" s="250" t="s">
        <v>39</v>
      </c>
      <c r="L31" s="250" t="s">
        <v>39</v>
      </c>
      <c r="M31" s="140"/>
      <c r="N31" s="140"/>
      <c r="O31" s="140"/>
      <c r="P31" s="140"/>
      <c r="Q31" s="140"/>
      <c r="R31" s="250" t="s">
        <v>39</v>
      </c>
      <c r="S31" s="250" t="s">
        <v>39</v>
      </c>
      <c r="T31" s="140"/>
      <c r="U31" s="140"/>
      <c r="V31" s="140"/>
      <c r="W31" s="140"/>
      <c r="X31" s="134"/>
      <c r="Y31" s="136">
        <v>11</v>
      </c>
      <c r="Z31" s="209"/>
      <c r="AA31" s="114"/>
    </row>
    <row r="32" spans="1:35" ht="12.75" hidden="1" customHeight="1">
      <c r="A32" s="140"/>
      <c r="B32" s="132" t="s">
        <v>46</v>
      </c>
      <c r="C32" s="138">
        <v>45632</v>
      </c>
      <c r="D32" s="140"/>
      <c r="E32" s="140"/>
      <c r="F32" s="140"/>
      <c r="G32" s="140"/>
      <c r="H32" s="135">
        <v>0</v>
      </c>
      <c r="I32" s="140"/>
      <c r="J32" s="140"/>
      <c r="K32" s="250" t="s">
        <v>39</v>
      </c>
      <c r="L32" s="250" t="s">
        <v>39</v>
      </c>
      <c r="M32" s="140"/>
      <c r="N32" s="140"/>
      <c r="O32" s="140"/>
      <c r="P32" s="140"/>
      <c r="Q32" s="140"/>
      <c r="R32" s="250" t="s">
        <v>39</v>
      </c>
      <c r="S32" s="250" t="s">
        <v>39</v>
      </c>
      <c r="T32" s="140"/>
      <c r="U32" s="140"/>
      <c r="V32" s="140"/>
      <c r="W32" s="140"/>
      <c r="X32" s="134"/>
      <c r="Y32" s="136">
        <v>11</v>
      </c>
      <c r="Z32" s="209"/>
      <c r="AA32" s="114"/>
    </row>
    <row r="33" spans="1:29" ht="12.75" customHeight="1">
      <c r="A33" s="139" t="s">
        <v>48</v>
      </c>
      <c r="B33" s="132" t="s">
        <v>46</v>
      </c>
      <c r="C33" s="138">
        <v>46054</v>
      </c>
      <c r="D33" s="252">
        <v>44</v>
      </c>
      <c r="E33" s="252">
        <v>44</v>
      </c>
      <c r="F33" s="252">
        <f>G33+H33</f>
        <v>44</v>
      </c>
      <c r="G33" s="252">
        <f>SUM(I33:W33)</f>
        <v>44</v>
      </c>
      <c r="H33" s="135">
        <v>0</v>
      </c>
      <c r="I33" s="140">
        <v>4</v>
      </c>
      <c r="J33" s="140">
        <v>4</v>
      </c>
      <c r="K33" s="250" t="s">
        <v>39</v>
      </c>
      <c r="L33" s="250" t="s">
        <v>39</v>
      </c>
      <c r="M33" s="140">
        <v>4</v>
      </c>
      <c r="N33" s="140">
        <v>4</v>
      </c>
      <c r="O33" s="140">
        <v>4</v>
      </c>
      <c r="P33" s="140">
        <v>4</v>
      </c>
      <c r="Q33" s="140">
        <v>4</v>
      </c>
      <c r="R33" s="250" t="s">
        <v>39</v>
      </c>
      <c r="S33" s="250" t="s">
        <v>39</v>
      </c>
      <c r="T33" s="140">
        <v>4</v>
      </c>
      <c r="U33" s="140">
        <v>4</v>
      </c>
      <c r="V33" s="140">
        <v>4</v>
      </c>
      <c r="W33" s="140">
        <v>4</v>
      </c>
      <c r="X33" s="134"/>
      <c r="Y33" s="136">
        <v>11</v>
      </c>
      <c r="Z33" s="209"/>
      <c r="AA33" s="114"/>
    </row>
    <row r="34" spans="1:29" ht="12.75" customHeight="1">
      <c r="A34" s="228"/>
      <c r="B34" s="228"/>
      <c r="C34" s="229"/>
      <c r="D34" s="224">
        <f t="shared" ref="D34:U34" si="15">SUM(D22:D32)</f>
        <v>616</v>
      </c>
      <c r="E34" s="224">
        <f t="shared" si="15"/>
        <v>616</v>
      </c>
      <c r="F34" s="224">
        <f t="shared" si="15"/>
        <v>592</v>
      </c>
      <c r="G34" s="224">
        <f t="shared" si="15"/>
        <v>592</v>
      </c>
      <c r="H34" s="224">
        <f t="shared" si="15"/>
        <v>0</v>
      </c>
      <c r="I34" s="224">
        <f t="shared" si="15"/>
        <v>56</v>
      </c>
      <c r="J34" s="224">
        <f t="shared" si="15"/>
        <v>56</v>
      </c>
      <c r="K34" s="224">
        <f t="shared" si="15"/>
        <v>0</v>
      </c>
      <c r="L34" s="224">
        <f t="shared" si="15"/>
        <v>0</v>
      </c>
      <c r="M34" s="224">
        <f t="shared" si="15"/>
        <v>48</v>
      </c>
      <c r="N34" s="224">
        <f t="shared" si="15"/>
        <v>56</v>
      </c>
      <c r="O34" s="224">
        <f t="shared" si="15"/>
        <v>56</v>
      </c>
      <c r="P34" s="224">
        <f t="shared" si="15"/>
        <v>48</v>
      </c>
      <c r="Q34" s="224">
        <f t="shared" si="15"/>
        <v>56</v>
      </c>
      <c r="R34" s="224">
        <f t="shared" si="15"/>
        <v>0</v>
      </c>
      <c r="S34" s="224">
        <f t="shared" si="15"/>
        <v>0</v>
      </c>
      <c r="T34" s="224">
        <f t="shared" si="15"/>
        <v>48</v>
      </c>
      <c r="U34" s="224">
        <f t="shared" si="15"/>
        <v>56</v>
      </c>
      <c r="V34" s="224"/>
      <c r="W34" s="224"/>
      <c r="X34" s="224"/>
      <c r="Y34" s="224"/>
      <c r="Z34" s="210"/>
      <c r="AA34" s="114"/>
    </row>
    <row r="35" spans="1:29" ht="12.75" customHeight="1">
      <c r="A35" s="230"/>
      <c r="B35" s="230"/>
      <c r="C35" s="231"/>
      <c r="D35" s="232"/>
      <c r="E35" s="233"/>
      <c r="F35" s="233"/>
      <c r="G35" s="233"/>
      <c r="H35" s="227"/>
      <c r="I35" s="234"/>
      <c r="J35" s="234"/>
      <c r="K35" s="234"/>
      <c r="L35" s="234"/>
      <c r="M35" s="234"/>
      <c r="N35" s="234"/>
      <c r="O35" s="210"/>
      <c r="P35" s="210"/>
      <c r="Q35" s="234"/>
      <c r="R35" s="234"/>
      <c r="S35" s="234"/>
      <c r="T35" s="234"/>
      <c r="U35" s="234"/>
      <c r="V35" s="234"/>
      <c r="W35" s="234"/>
      <c r="X35" s="234"/>
      <c r="Y35" s="210"/>
      <c r="Z35" s="210"/>
      <c r="AA35" s="114"/>
      <c r="AB35" s="114"/>
      <c r="AC35" s="114"/>
    </row>
    <row r="36" spans="1:29" ht="12.75" customHeight="1" thickBot="1">
      <c r="A36" s="209"/>
      <c r="B36" s="209"/>
      <c r="C36" s="209"/>
      <c r="D36" s="209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57.75" customHeight="1">
      <c r="A37" s="149" t="s">
        <v>1</v>
      </c>
      <c r="B37" s="150" t="s">
        <v>23</v>
      </c>
      <c r="C37" s="150" t="s">
        <v>24</v>
      </c>
      <c r="D37" s="245" t="s">
        <v>25</v>
      </c>
      <c r="E37" s="245" t="s">
        <v>38</v>
      </c>
      <c r="F37" s="120"/>
      <c r="G37" s="120"/>
      <c r="H37" s="120"/>
      <c r="I37" s="120"/>
      <c r="J37" s="120"/>
      <c r="K37" s="118"/>
      <c r="L37" s="118"/>
      <c r="M37" s="118"/>
      <c r="N37" s="118"/>
      <c r="O37" s="118"/>
      <c r="P37" s="118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40</v>
      </c>
      <c r="B38" s="153">
        <f>F5+F22</f>
        <v>168</v>
      </c>
      <c r="C38" s="154">
        <f>E5+E22</f>
        <v>176</v>
      </c>
      <c r="D38" s="246">
        <f t="shared" ref="D38:D48" si="16">B38</f>
        <v>168</v>
      </c>
      <c r="E38" s="249">
        <v>29</v>
      </c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</row>
    <row r="39" spans="1:29" ht="13.5" customHeight="1">
      <c r="A39" s="131" t="s">
        <v>41</v>
      </c>
      <c r="B39" s="153">
        <f>F6+F23</f>
        <v>168</v>
      </c>
      <c r="C39" s="154">
        <f>E6+E23</f>
        <v>176</v>
      </c>
      <c r="D39" s="246">
        <f t="shared" si="16"/>
        <v>168</v>
      </c>
      <c r="E39" s="249">
        <v>32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1" t="s">
        <v>42</v>
      </c>
      <c r="B40" s="153">
        <f>F7+F24</f>
        <v>168</v>
      </c>
      <c r="C40" s="154">
        <f>E7+E24</f>
        <v>176</v>
      </c>
      <c r="D40" s="246">
        <f t="shared" si="16"/>
        <v>168</v>
      </c>
      <c r="E40" s="249">
        <v>36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>
      <c r="A41" s="131" t="s">
        <v>43</v>
      </c>
      <c r="B41" s="153">
        <f>F8+F25</f>
        <v>168</v>
      </c>
      <c r="C41" s="154">
        <f>E8+E25</f>
        <v>176</v>
      </c>
      <c r="D41" s="246">
        <f t="shared" si="16"/>
        <v>168</v>
      </c>
      <c r="E41" s="249">
        <v>23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customHeight="1">
      <c r="A42" s="139" t="s">
        <v>44</v>
      </c>
      <c r="B42" s="216">
        <f>F9+F26</f>
        <v>176</v>
      </c>
      <c r="C42" s="217">
        <f>E9+E26</f>
        <v>176</v>
      </c>
      <c r="D42" s="247">
        <f t="shared" si="16"/>
        <v>176</v>
      </c>
      <c r="E42" s="249">
        <v>28</v>
      </c>
      <c r="F42" s="114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48"/>
      <c r="AA42" s="120"/>
      <c r="AB42" s="114"/>
    </row>
    <row r="43" spans="1:29" ht="13.5" customHeight="1" thickBot="1">
      <c r="A43" s="139" t="s">
        <v>45</v>
      </c>
      <c r="B43" s="158">
        <f>G10+G28</f>
        <v>168</v>
      </c>
      <c r="C43" s="159">
        <f>E10+E28</f>
        <v>176</v>
      </c>
      <c r="D43" s="248">
        <f t="shared" si="16"/>
        <v>168</v>
      </c>
      <c r="E43" s="249">
        <v>27</v>
      </c>
      <c r="F43" s="114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48"/>
      <c r="AA43" s="120"/>
      <c r="AB43" s="114"/>
    </row>
    <row r="44" spans="1:29" ht="13.5" hidden="1" customHeight="1">
      <c r="A44" s="139" t="s">
        <v>45</v>
      </c>
      <c r="B44" s="158">
        <f>G11+G29</f>
        <v>0</v>
      </c>
      <c r="C44" s="159">
        <f>E11+E29</f>
        <v>0</v>
      </c>
      <c r="D44" s="248">
        <f t="shared" si="16"/>
        <v>0</v>
      </c>
      <c r="E44" s="249">
        <v>27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39" t="s">
        <v>45</v>
      </c>
      <c r="B45" s="158">
        <f>G12+G30</f>
        <v>0</v>
      </c>
      <c r="C45" s="159">
        <f>E12+E30</f>
        <v>0</v>
      </c>
      <c r="D45" s="248">
        <f t="shared" si="16"/>
        <v>0</v>
      </c>
      <c r="E45" s="249">
        <v>27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39" t="s">
        <v>45</v>
      </c>
      <c r="B46" s="158">
        <f>G13+G31</f>
        <v>0</v>
      </c>
      <c r="C46" s="159">
        <f>E13+E31</f>
        <v>0</v>
      </c>
      <c r="D46" s="248">
        <f t="shared" si="16"/>
        <v>0</v>
      </c>
      <c r="E46" s="249">
        <v>27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3.5" hidden="1" customHeight="1">
      <c r="A47" s="139" t="s">
        <v>45</v>
      </c>
      <c r="B47" s="158">
        <f>G14+G32</f>
        <v>0</v>
      </c>
      <c r="C47" s="159">
        <f>E14+E32</f>
        <v>0</v>
      </c>
      <c r="D47" s="248">
        <f t="shared" si="16"/>
        <v>0</v>
      </c>
      <c r="E47" s="249">
        <v>27</v>
      </c>
      <c r="F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139" t="s">
        <v>47</v>
      </c>
      <c r="B48" s="158">
        <v>184</v>
      </c>
      <c r="C48" s="159">
        <v>184</v>
      </c>
      <c r="D48" s="248">
        <f t="shared" si="16"/>
        <v>184</v>
      </c>
      <c r="E48" s="249">
        <v>30</v>
      </c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 thickBot="1">
      <c r="A49" s="139" t="s">
        <v>48</v>
      </c>
      <c r="B49" s="158">
        <v>88</v>
      </c>
      <c r="C49" s="159">
        <v>88</v>
      </c>
      <c r="D49" s="248">
        <v>88</v>
      </c>
      <c r="E49" s="249">
        <v>32</v>
      </c>
      <c r="F49" s="163"/>
      <c r="G49" s="163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209"/>
      <c r="B50" s="209"/>
      <c r="C50" s="209"/>
      <c r="D50" s="120"/>
      <c r="E50" s="163"/>
      <c r="F50" s="163"/>
      <c r="G50" s="163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4.25" customHeight="1">
      <c r="A51" s="255" t="s">
        <v>0</v>
      </c>
      <c r="B51" s="256"/>
      <c r="C51" s="257"/>
      <c r="D51" s="209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64" t="s">
        <v>26</v>
      </c>
      <c r="B52" s="165" t="s">
        <v>27</v>
      </c>
      <c r="C52" s="166" t="s">
        <v>28</v>
      </c>
      <c r="D52" s="209"/>
      <c r="E52" s="120"/>
      <c r="F52" s="120"/>
      <c r="G52" s="114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67" t="s">
        <v>29</v>
      </c>
      <c r="B53" s="168">
        <v>10</v>
      </c>
      <c r="C53" s="171">
        <f>B53*8</f>
        <v>80</v>
      </c>
      <c r="D53" s="209"/>
      <c r="E53" s="120"/>
      <c r="F53" s="120"/>
      <c r="G53" s="120"/>
      <c r="H53" s="114"/>
      <c r="I53" s="169"/>
      <c r="J53" s="169"/>
      <c r="K53" s="169"/>
      <c r="L53" s="169"/>
      <c r="M53" s="169"/>
      <c r="N53" s="169"/>
      <c r="O53" s="169"/>
      <c r="P53" s="114"/>
      <c r="Q53" s="114"/>
      <c r="R53" s="114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56" t="s">
        <v>30</v>
      </c>
      <c r="B54" s="170">
        <v>0</v>
      </c>
      <c r="C54" s="171">
        <f>B54*8</f>
        <v>0</v>
      </c>
      <c r="D54" s="209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57" t="s">
        <v>31</v>
      </c>
      <c r="B55" s="172">
        <f t="shared" ref="B55:C55" si="17">B53-B54</f>
        <v>10</v>
      </c>
      <c r="C55" s="173">
        <f t="shared" si="17"/>
        <v>80</v>
      </c>
      <c r="D55" s="209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209"/>
      <c r="B56" s="209"/>
      <c r="C56" s="209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4.25" customHeight="1">
      <c r="A58" s="255" t="s">
        <v>22</v>
      </c>
      <c r="B58" s="256"/>
      <c r="C58" s="257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64" t="s">
        <v>26</v>
      </c>
      <c r="B59" s="165" t="s">
        <v>27</v>
      </c>
      <c r="C59" s="166" t="s">
        <v>28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4" t="s">
        <v>29</v>
      </c>
      <c r="B60" s="168">
        <v>12</v>
      </c>
      <c r="C60" s="171">
        <f t="shared" ref="C60:C61" si="18">B60*8</f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74" t="s">
        <v>30</v>
      </c>
      <c r="B61" s="175">
        <v>0</v>
      </c>
      <c r="C61" s="171">
        <f t="shared" si="18"/>
        <v>0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76" t="s">
        <v>31</v>
      </c>
      <c r="B62" s="172">
        <f t="shared" ref="B62:C62" si="19">B60-B61</f>
        <v>12</v>
      </c>
      <c r="C62" s="173">
        <f t="shared" si="19"/>
        <v>96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77" t="s">
        <v>32</v>
      </c>
      <c r="C64" s="178">
        <f>C55+C62</f>
        <v>176</v>
      </c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79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79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48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48"/>
      <c r="AB82" s="120"/>
      <c r="AC82" s="114"/>
    </row>
    <row r="83" spans="1:29" ht="12.7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20"/>
      <c r="AC83" s="114"/>
    </row>
    <row r="84" spans="1:29" ht="12.7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14"/>
      <c r="AB84" s="114"/>
      <c r="AC84" s="114"/>
    </row>
    <row r="85" spans="1:29" ht="12.75" customHeight="1">
      <c r="A85" s="114"/>
      <c r="B85" s="114"/>
      <c r="C85" s="114"/>
      <c r="D85" s="114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14"/>
      <c r="AB85" s="114"/>
      <c r="AC85" s="114"/>
    </row>
    <row r="86" spans="1:29" ht="12.75" customHeight="1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</row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  <row r="1001" ht="13"/>
    <row r="1002" ht="13"/>
  </sheetData>
  <mergeCells count="16">
    <mergeCell ref="Y20:Y21"/>
    <mergeCell ref="A51:C51"/>
    <mergeCell ref="A58:C58"/>
    <mergeCell ref="Y3:Y4"/>
    <mergeCell ref="A20:A21"/>
    <mergeCell ref="B20:B21"/>
    <mergeCell ref="C20:C21"/>
    <mergeCell ref="D20:D21"/>
    <mergeCell ref="E20:H20"/>
    <mergeCell ref="X20:X21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APRIL 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2026-05-13T11:52:52Z</dcterms:modified>
  <cp:category/>
  <cp:contentStatus/>
</cp:coreProperties>
</file>