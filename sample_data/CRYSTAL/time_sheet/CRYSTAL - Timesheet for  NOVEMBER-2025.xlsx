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cm/Downloads/CRYSTAL/TimeSheets/"/>
    </mc:Choice>
  </mc:AlternateContent>
  <xr:revisionPtr revIDLastSave="0" documentId="13_ncr:1_{9B100C4F-A086-6C46-8F99-5FE4B7DDB21D}" xr6:coauthVersionLast="47" xr6:coauthVersionMax="47" xr10:uidLastSave="{00000000-0000-0000-0000-000000000000}"/>
  <bookViews>
    <workbookView xWindow="11740" yWindow="2340" windowWidth="19420" windowHeight="11500" activeTab="4" xr2:uid="{00000000-000D-0000-FFFF-FFFF00000000}"/>
  </bookViews>
  <sheets>
    <sheet name="JUNE'25" sheetId="16" state="hidden" r:id="rId1"/>
    <sheet name="SEPTEMBER'25" sheetId="19" state="hidden" r:id="rId2"/>
    <sheet name="OCTOBER'25" sheetId="20" state="hidden" r:id="rId3"/>
    <sheet name="NOVEMBER'25 (2)" sheetId="21" state="hidden" r:id="rId4"/>
    <sheet name="NOV'25" sheetId="23" r:id="rId5"/>
    <sheet name="FEBRUARY'26" sheetId="22" state="hidden" r:id="rId6"/>
    <sheet name="JANUARY'26" sheetId="18" state="hidden" r:id="rId7"/>
    <sheet name="AUGUST'25" sheetId="17" state="hidden" r:id="rId8"/>
    <sheet name="JULY'25" sheetId="15" state="hidden" r:id="rId9"/>
    <sheet name="APRIL" sheetId="14" state="hidden" r:id="rId10"/>
    <sheet name="MARCH" sheetId="13" state="hidden" r:id="rId11"/>
    <sheet name="JAN'25" sheetId="1" state="hidden" r:id="rId12"/>
    <sheet name="FEB24" sheetId="2" state="hidden" r:id="rId13"/>
    <sheet name="MAR24" sheetId="3" state="hidden" r:id="rId14"/>
    <sheet name="APR24" sheetId="4" state="hidden" r:id="rId15"/>
    <sheet name="MAY24" sheetId="5" state="hidden" r:id="rId16"/>
    <sheet name="JUN24" sheetId="6" state="hidden" r:id="rId17"/>
    <sheet name="JUL24" sheetId="7" state="hidden" r:id="rId18"/>
    <sheet name="AUG24" sheetId="8" state="hidden" r:id="rId19"/>
    <sheet name="SEP24" sheetId="9" state="hidden" r:id="rId20"/>
    <sheet name="OCT24" sheetId="10" state="hidden" r:id="rId21"/>
    <sheet name="NOV24" sheetId="11" state="hidden" r:id="rId22"/>
    <sheet name="DEC24" sheetId="12" state="hidden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23" l="1"/>
  <c r="D43" i="23"/>
  <c r="D44" i="23"/>
  <c r="D45" i="23"/>
  <c r="D46" i="23"/>
  <c r="C42" i="23"/>
  <c r="C43" i="23"/>
  <c r="C44" i="23"/>
  <c r="C45" i="23"/>
  <c r="C46" i="23"/>
  <c r="B42" i="23"/>
  <c r="B43" i="23"/>
  <c r="B44" i="23"/>
  <c r="B45" i="23"/>
  <c r="B46" i="23"/>
  <c r="B59" i="23"/>
  <c r="C58" i="23"/>
  <c r="C57" i="23"/>
  <c r="B52" i="23"/>
  <c r="C51" i="23"/>
  <c r="C50" i="23"/>
  <c r="C52" i="23" s="1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26" i="23"/>
  <c r="F26" i="23" s="1"/>
  <c r="E26" i="23"/>
  <c r="D26" i="23" s="1"/>
  <c r="G25" i="23"/>
  <c r="F25" i="23" s="1"/>
  <c r="E25" i="23"/>
  <c r="D25" i="23" s="1"/>
  <c r="G24" i="23"/>
  <c r="F24" i="23" s="1"/>
  <c r="E24" i="23"/>
  <c r="D24" i="23" s="1"/>
  <c r="G23" i="23"/>
  <c r="F23" i="23" s="1"/>
  <c r="E23" i="23"/>
  <c r="D23" i="23" s="1"/>
  <c r="G22" i="23"/>
  <c r="F22" i="23" s="1"/>
  <c r="E22" i="23"/>
  <c r="D22" i="23" s="1"/>
  <c r="G21" i="23"/>
  <c r="F21" i="23" s="1"/>
  <c r="E21" i="23"/>
  <c r="D21" i="23" s="1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0" i="23"/>
  <c r="F10" i="23" s="1"/>
  <c r="E10" i="23"/>
  <c r="D10" i="23" s="1"/>
  <c r="G9" i="23"/>
  <c r="F9" i="23" s="1"/>
  <c r="E9" i="23"/>
  <c r="D9" i="23" s="1"/>
  <c r="G8" i="23"/>
  <c r="F8" i="23" s="1"/>
  <c r="E8" i="23"/>
  <c r="D8" i="23" s="1"/>
  <c r="G7" i="23"/>
  <c r="F7" i="23" s="1"/>
  <c r="E7" i="23"/>
  <c r="D7" i="23" s="1"/>
  <c r="G6" i="23"/>
  <c r="F6" i="23" s="1"/>
  <c r="E6" i="23"/>
  <c r="D6" i="23" s="1"/>
  <c r="G5" i="23"/>
  <c r="F5" i="23" s="1"/>
  <c r="E5" i="23"/>
  <c r="D5" i="23" s="1"/>
  <c r="I3" i="23"/>
  <c r="B57" i="22"/>
  <c r="C56" i="22"/>
  <c r="C55" i="22"/>
  <c r="C57" i="22" s="1"/>
  <c r="B50" i="22"/>
  <c r="C49" i="22"/>
  <c r="C48" i="22"/>
  <c r="C50" i="22" s="1"/>
  <c r="C59" i="22" s="1"/>
  <c r="B43" i="22"/>
  <c r="C43" i="22" s="1"/>
  <c r="D43" i="22" s="1"/>
  <c r="B42" i="22"/>
  <c r="C42" i="22" s="1"/>
  <c r="D42" i="22" s="1"/>
  <c r="B41" i="22"/>
  <c r="C41" i="22" s="1"/>
  <c r="D41" i="22" s="1"/>
  <c r="B40" i="22"/>
  <c r="C40" i="22" s="1"/>
  <c r="D4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Y25" i="22"/>
  <c r="G25" i="22"/>
  <c r="F25" i="22"/>
  <c r="E25" i="22"/>
  <c r="D25" i="22"/>
  <c r="Y24" i="22"/>
  <c r="G24" i="22"/>
  <c r="F24" i="22"/>
  <c r="E24" i="22"/>
  <c r="D24" i="22"/>
  <c r="Y23" i="22"/>
  <c r="G23" i="22"/>
  <c r="F23" i="22"/>
  <c r="E23" i="22"/>
  <c r="D23" i="22"/>
  <c r="Y22" i="22"/>
  <c r="G22" i="22"/>
  <c r="F22" i="22"/>
  <c r="E22" i="22"/>
  <c r="D22" i="22"/>
  <c r="Y21" i="22"/>
  <c r="G21" i="22"/>
  <c r="F21" i="22"/>
  <c r="E21" i="22"/>
  <c r="D21" i="22"/>
  <c r="Y20" i="22"/>
  <c r="G20" i="22"/>
  <c r="G30" i="22" s="1"/>
  <c r="F20" i="22"/>
  <c r="F30" i="22" s="1"/>
  <c r="E20" i="22"/>
  <c r="E30" i="22" s="1"/>
  <c r="D20" i="22"/>
  <c r="D30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X10" i="22"/>
  <c r="G10" i="22"/>
  <c r="B39" i="22" s="1"/>
  <c r="D39" i="22" s="1"/>
  <c r="F10" i="22"/>
  <c r="E10" i="22"/>
  <c r="C39" i="22" s="1"/>
  <c r="D10" i="22"/>
  <c r="X9" i="22"/>
  <c r="G9" i="22"/>
  <c r="F9" i="22"/>
  <c r="B38" i="22" s="1"/>
  <c r="D38" i="22" s="1"/>
  <c r="E9" i="22"/>
  <c r="C38" i="22" s="1"/>
  <c r="D9" i="22"/>
  <c r="X8" i="22"/>
  <c r="G8" i="22"/>
  <c r="F8" i="22"/>
  <c r="B37" i="22" s="1"/>
  <c r="D37" i="22" s="1"/>
  <c r="E8" i="22"/>
  <c r="C37" i="22" s="1"/>
  <c r="D8" i="22"/>
  <c r="X7" i="22"/>
  <c r="G7" i="22"/>
  <c r="F7" i="22"/>
  <c r="B36" i="22" s="1"/>
  <c r="D36" i="22" s="1"/>
  <c r="E7" i="22"/>
  <c r="C36" i="22" s="1"/>
  <c r="D7" i="22"/>
  <c r="X6" i="22"/>
  <c r="G6" i="22"/>
  <c r="F6" i="22"/>
  <c r="B35" i="22" s="1"/>
  <c r="D35" i="22" s="1"/>
  <c r="E6" i="22"/>
  <c r="C35" i="22" s="1"/>
  <c r="D6" i="22"/>
  <c r="X5" i="22"/>
  <c r="G5" i="22"/>
  <c r="G15" i="22" s="1"/>
  <c r="F5" i="22"/>
  <c r="E5" i="22"/>
  <c r="D5" i="22"/>
  <c r="D15" i="22" s="1"/>
  <c r="I3" i="22"/>
  <c r="G5" i="18"/>
  <c r="B57" i="21"/>
  <c r="C56" i="21"/>
  <c r="C55" i="21"/>
  <c r="C57" i="21" s="1"/>
  <c r="B50" i="21"/>
  <c r="C49" i="21"/>
  <c r="C48" i="21"/>
  <c r="C50" i="21" s="1"/>
  <c r="C59" i="21" s="1"/>
  <c r="B43" i="21"/>
  <c r="C43" i="21" s="1"/>
  <c r="D43" i="21" s="1"/>
  <c r="B42" i="21"/>
  <c r="C42" i="21" s="1"/>
  <c r="D42" i="21" s="1"/>
  <c r="B41" i="21"/>
  <c r="C41" i="21" s="1"/>
  <c r="D41" i="21" s="1"/>
  <c r="B40" i="21"/>
  <c r="C40" i="21" s="1"/>
  <c r="D40" i="21" s="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Y25" i="21"/>
  <c r="G25" i="21"/>
  <c r="F25" i="21"/>
  <c r="E25" i="21"/>
  <c r="D25" i="21"/>
  <c r="Y24" i="21"/>
  <c r="G24" i="21"/>
  <c r="F24" i="21"/>
  <c r="E24" i="21"/>
  <c r="D24" i="21"/>
  <c r="Y23" i="21"/>
  <c r="G23" i="21"/>
  <c r="F23" i="21"/>
  <c r="E23" i="21"/>
  <c r="D23" i="21"/>
  <c r="Y22" i="21"/>
  <c r="G22" i="21"/>
  <c r="F22" i="21"/>
  <c r="E22" i="21"/>
  <c r="D22" i="21"/>
  <c r="Y21" i="21"/>
  <c r="G21" i="21"/>
  <c r="F21" i="21"/>
  <c r="E21" i="21"/>
  <c r="D21" i="21"/>
  <c r="Y20" i="21"/>
  <c r="G20" i="21"/>
  <c r="G30" i="21" s="1"/>
  <c r="F20" i="21"/>
  <c r="F30" i="21" s="1"/>
  <c r="E20" i="21"/>
  <c r="E30" i="21" s="1"/>
  <c r="D20" i="21"/>
  <c r="D30" i="21" s="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X10" i="21"/>
  <c r="G10" i="21"/>
  <c r="B39" i="21" s="1"/>
  <c r="D39" i="21" s="1"/>
  <c r="F10" i="21"/>
  <c r="E10" i="21"/>
  <c r="C39" i="21" s="1"/>
  <c r="D10" i="21"/>
  <c r="X9" i="21"/>
  <c r="G9" i="21"/>
  <c r="F9" i="21"/>
  <c r="B38" i="21" s="1"/>
  <c r="D38" i="21" s="1"/>
  <c r="E9" i="21"/>
  <c r="C38" i="21" s="1"/>
  <c r="D9" i="21"/>
  <c r="X8" i="21"/>
  <c r="G8" i="21"/>
  <c r="F8" i="21"/>
  <c r="B37" i="21" s="1"/>
  <c r="D37" i="21" s="1"/>
  <c r="E8" i="21"/>
  <c r="C37" i="21" s="1"/>
  <c r="D8" i="21"/>
  <c r="X7" i="21"/>
  <c r="G7" i="21"/>
  <c r="F7" i="21"/>
  <c r="B36" i="21" s="1"/>
  <c r="D36" i="21" s="1"/>
  <c r="E7" i="21"/>
  <c r="C36" i="21" s="1"/>
  <c r="D7" i="21"/>
  <c r="X6" i="21"/>
  <c r="G6" i="21"/>
  <c r="F6" i="21"/>
  <c r="B35" i="21" s="1"/>
  <c r="D35" i="21" s="1"/>
  <c r="E6" i="21"/>
  <c r="C35" i="21" s="1"/>
  <c r="D6" i="21"/>
  <c r="X5" i="21"/>
  <c r="G5" i="21"/>
  <c r="G15" i="21" s="1"/>
  <c r="F5" i="21"/>
  <c r="E5" i="21"/>
  <c r="D5" i="21"/>
  <c r="D15" i="21" s="1"/>
  <c r="I3" i="21"/>
  <c r="B57" i="20"/>
  <c r="C56" i="20"/>
  <c r="C55" i="20"/>
  <c r="C57" i="20" s="1"/>
  <c r="B50" i="20"/>
  <c r="C49" i="20"/>
  <c r="C48" i="20"/>
  <c r="C50" i="20" s="1"/>
  <c r="C59" i="20" s="1"/>
  <c r="B43" i="20"/>
  <c r="C43" i="20" s="1"/>
  <c r="D43" i="20" s="1"/>
  <c r="B42" i="20"/>
  <c r="C42" i="20" s="1"/>
  <c r="D42" i="20" s="1"/>
  <c r="B41" i="20"/>
  <c r="C41" i="20" s="1"/>
  <c r="D41" i="20" s="1"/>
  <c r="B40" i="20"/>
  <c r="C40" i="20" s="1"/>
  <c r="D40" i="20" s="1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Y25" i="20"/>
  <c r="G25" i="20"/>
  <c r="F25" i="20"/>
  <c r="E25" i="20"/>
  <c r="D25" i="20"/>
  <c r="Y24" i="20"/>
  <c r="G24" i="20"/>
  <c r="F24" i="20"/>
  <c r="E24" i="20"/>
  <c r="D24" i="20"/>
  <c r="Y23" i="20"/>
  <c r="G23" i="20"/>
  <c r="F23" i="20"/>
  <c r="E23" i="20"/>
  <c r="D23" i="20"/>
  <c r="Y22" i="20"/>
  <c r="G22" i="20"/>
  <c r="F22" i="20"/>
  <c r="E22" i="20"/>
  <c r="D22" i="20"/>
  <c r="Y21" i="20"/>
  <c r="G21" i="20"/>
  <c r="F21" i="20"/>
  <c r="E21" i="20"/>
  <c r="D21" i="20"/>
  <c r="Y20" i="20"/>
  <c r="G20" i="20"/>
  <c r="G30" i="20" s="1"/>
  <c r="F20" i="20"/>
  <c r="F30" i="20" s="1"/>
  <c r="E20" i="20"/>
  <c r="E30" i="20" s="1"/>
  <c r="D20" i="20"/>
  <c r="D30" i="20" s="1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X10" i="20"/>
  <c r="G10" i="20"/>
  <c r="B39" i="20" s="1"/>
  <c r="D39" i="20" s="1"/>
  <c r="F10" i="20"/>
  <c r="E10" i="20"/>
  <c r="C39" i="20" s="1"/>
  <c r="D10" i="20"/>
  <c r="X9" i="20"/>
  <c r="G9" i="20"/>
  <c r="F9" i="20"/>
  <c r="B38" i="20" s="1"/>
  <c r="D38" i="20" s="1"/>
  <c r="E9" i="20"/>
  <c r="C38" i="20" s="1"/>
  <c r="D9" i="20"/>
  <c r="X8" i="20"/>
  <c r="G8" i="20"/>
  <c r="F8" i="20"/>
  <c r="B37" i="20" s="1"/>
  <c r="D37" i="20" s="1"/>
  <c r="E8" i="20"/>
  <c r="C37" i="20" s="1"/>
  <c r="D8" i="20"/>
  <c r="X7" i="20"/>
  <c r="G7" i="20"/>
  <c r="F7" i="20"/>
  <c r="B36" i="20" s="1"/>
  <c r="D36" i="20" s="1"/>
  <c r="E7" i="20"/>
  <c r="C36" i="20" s="1"/>
  <c r="D7" i="20"/>
  <c r="X6" i="20"/>
  <c r="G6" i="20"/>
  <c r="F6" i="20"/>
  <c r="B35" i="20" s="1"/>
  <c r="D35" i="20" s="1"/>
  <c r="E6" i="20"/>
  <c r="C35" i="20" s="1"/>
  <c r="D6" i="20"/>
  <c r="X5" i="20"/>
  <c r="G5" i="20"/>
  <c r="G15" i="20" s="1"/>
  <c r="F5" i="20"/>
  <c r="E5" i="20"/>
  <c r="D5" i="20"/>
  <c r="D15" i="20" s="1"/>
  <c r="I3" i="20"/>
  <c r="Y23" i="18"/>
  <c r="X5" i="18"/>
  <c r="B57" i="19"/>
  <c r="C56" i="19"/>
  <c r="C55" i="19"/>
  <c r="C57" i="19" s="1"/>
  <c r="B50" i="19"/>
  <c r="C49" i="19"/>
  <c r="C48" i="19"/>
  <c r="C50" i="19" s="1"/>
  <c r="C59" i="19" s="1"/>
  <c r="B43" i="19"/>
  <c r="C43" i="19" s="1"/>
  <c r="D43" i="19" s="1"/>
  <c r="B42" i="19"/>
  <c r="C42" i="19" s="1"/>
  <c r="D42" i="19" s="1"/>
  <c r="B41" i="19"/>
  <c r="C41" i="19" s="1"/>
  <c r="D41" i="19" s="1"/>
  <c r="B40" i="19"/>
  <c r="C40" i="19" s="1"/>
  <c r="D40" i="19" s="1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Y25" i="19"/>
  <c r="G25" i="19"/>
  <c r="F25" i="19"/>
  <c r="E25" i="19"/>
  <c r="D25" i="19"/>
  <c r="Y24" i="19"/>
  <c r="G24" i="19"/>
  <c r="F24" i="19"/>
  <c r="E24" i="19"/>
  <c r="D24" i="19"/>
  <c r="G23" i="19"/>
  <c r="F23" i="19"/>
  <c r="E23" i="19"/>
  <c r="D23" i="19"/>
  <c r="Y22" i="19"/>
  <c r="G22" i="19"/>
  <c r="F22" i="19"/>
  <c r="E22" i="19"/>
  <c r="D22" i="19"/>
  <c r="Y21" i="19"/>
  <c r="G21" i="19"/>
  <c r="F21" i="19"/>
  <c r="E21" i="19"/>
  <c r="D21" i="19"/>
  <c r="Y20" i="19"/>
  <c r="G20" i="19"/>
  <c r="G30" i="19" s="1"/>
  <c r="F20" i="19"/>
  <c r="F30" i="19" s="1"/>
  <c r="E20" i="19"/>
  <c r="E30" i="19" s="1"/>
  <c r="D20" i="19"/>
  <c r="D30" i="19" s="1"/>
  <c r="X19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X10" i="19"/>
  <c r="G10" i="19"/>
  <c r="B39" i="19" s="1"/>
  <c r="D39" i="19" s="1"/>
  <c r="F10" i="19"/>
  <c r="E10" i="19"/>
  <c r="C39" i="19" s="1"/>
  <c r="D10" i="19"/>
  <c r="X9" i="19"/>
  <c r="G9" i="19"/>
  <c r="F9" i="19"/>
  <c r="B38" i="19" s="1"/>
  <c r="D38" i="19" s="1"/>
  <c r="E9" i="19"/>
  <c r="C38" i="19" s="1"/>
  <c r="D9" i="19"/>
  <c r="X8" i="19"/>
  <c r="G8" i="19"/>
  <c r="F8" i="19"/>
  <c r="B37" i="19" s="1"/>
  <c r="D37" i="19" s="1"/>
  <c r="E8" i="19"/>
  <c r="C37" i="19" s="1"/>
  <c r="D8" i="19"/>
  <c r="X7" i="19"/>
  <c r="G7" i="19"/>
  <c r="F7" i="19"/>
  <c r="B36" i="19" s="1"/>
  <c r="D36" i="19" s="1"/>
  <c r="E7" i="19"/>
  <c r="C36" i="19" s="1"/>
  <c r="D7" i="19"/>
  <c r="X6" i="19"/>
  <c r="G6" i="19"/>
  <c r="F6" i="19"/>
  <c r="B35" i="19" s="1"/>
  <c r="D35" i="19" s="1"/>
  <c r="E6" i="19"/>
  <c r="C35" i="19" s="1"/>
  <c r="D6" i="19"/>
  <c r="X5" i="19"/>
  <c r="G5" i="19"/>
  <c r="G15" i="19" s="1"/>
  <c r="F5" i="19"/>
  <c r="E5" i="19"/>
  <c r="D5" i="19"/>
  <c r="D15" i="19" s="1"/>
  <c r="I3" i="19"/>
  <c r="B57" i="18"/>
  <c r="C56" i="18"/>
  <c r="C55" i="18"/>
  <c r="C57" i="18" s="1"/>
  <c r="B50" i="18"/>
  <c r="C49" i="18"/>
  <c r="C48" i="18"/>
  <c r="C50" i="18" s="1"/>
  <c r="C59" i="18" s="1"/>
  <c r="B43" i="18"/>
  <c r="C43" i="18" s="1"/>
  <c r="D43" i="18" s="1"/>
  <c r="B42" i="18"/>
  <c r="C42" i="18" s="1"/>
  <c r="D42" i="18" s="1"/>
  <c r="B41" i="18"/>
  <c r="C41" i="18" s="1"/>
  <c r="D41" i="18" s="1"/>
  <c r="B40" i="18"/>
  <c r="C40" i="18" s="1"/>
  <c r="D40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Y25" i="18"/>
  <c r="G25" i="18"/>
  <c r="F25" i="18"/>
  <c r="E25" i="18"/>
  <c r="D25" i="18"/>
  <c r="Y24" i="18"/>
  <c r="G24" i="18"/>
  <c r="F24" i="18"/>
  <c r="E24" i="18"/>
  <c r="D24" i="18"/>
  <c r="G23" i="18"/>
  <c r="F23" i="18"/>
  <c r="E23" i="18"/>
  <c r="D23" i="18"/>
  <c r="Y22" i="18"/>
  <c r="G22" i="18"/>
  <c r="F22" i="18"/>
  <c r="E22" i="18"/>
  <c r="D22" i="18"/>
  <c r="Y21" i="18"/>
  <c r="G21" i="18"/>
  <c r="F21" i="18"/>
  <c r="E21" i="18"/>
  <c r="D21" i="18"/>
  <c r="Y20" i="18"/>
  <c r="G20" i="18"/>
  <c r="G30" i="18" s="1"/>
  <c r="F20" i="18"/>
  <c r="F30" i="18" s="1"/>
  <c r="E20" i="18"/>
  <c r="E30" i="18" s="1"/>
  <c r="D20" i="18"/>
  <c r="D30" i="18" s="1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X10" i="18"/>
  <c r="G10" i="18"/>
  <c r="B39" i="18" s="1"/>
  <c r="D39" i="18" s="1"/>
  <c r="F10" i="18"/>
  <c r="E10" i="18"/>
  <c r="C39" i="18" s="1"/>
  <c r="D10" i="18"/>
  <c r="X9" i="18"/>
  <c r="G9" i="18"/>
  <c r="F9" i="18"/>
  <c r="B38" i="18" s="1"/>
  <c r="D38" i="18" s="1"/>
  <c r="E9" i="18"/>
  <c r="C38" i="18" s="1"/>
  <c r="D9" i="18"/>
  <c r="X8" i="18"/>
  <c r="G8" i="18"/>
  <c r="F8" i="18"/>
  <c r="B37" i="18" s="1"/>
  <c r="D37" i="18" s="1"/>
  <c r="E8" i="18"/>
  <c r="C37" i="18" s="1"/>
  <c r="D8" i="18"/>
  <c r="X7" i="18"/>
  <c r="G7" i="18"/>
  <c r="F7" i="18"/>
  <c r="B36" i="18" s="1"/>
  <c r="D36" i="18" s="1"/>
  <c r="E7" i="18"/>
  <c r="C36" i="18" s="1"/>
  <c r="D7" i="18"/>
  <c r="X6" i="18"/>
  <c r="G6" i="18"/>
  <c r="F6" i="18"/>
  <c r="B35" i="18" s="1"/>
  <c r="D35" i="18" s="1"/>
  <c r="E6" i="18"/>
  <c r="C35" i="18" s="1"/>
  <c r="D6" i="18"/>
  <c r="G15" i="18"/>
  <c r="F5" i="18"/>
  <c r="E5" i="18"/>
  <c r="D5" i="18"/>
  <c r="D15" i="18" s="1"/>
  <c r="I3" i="18"/>
  <c r="B57" i="17"/>
  <c r="C56" i="17"/>
  <c r="C55" i="17"/>
  <c r="C57" i="17" s="1"/>
  <c r="B50" i="17"/>
  <c r="C49" i="17"/>
  <c r="C48" i="17"/>
  <c r="C50" i="17" s="1"/>
  <c r="C59" i="17" s="1"/>
  <c r="B43" i="17"/>
  <c r="C43" i="17" s="1"/>
  <c r="D43" i="17" s="1"/>
  <c r="B42" i="17"/>
  <c r="C42" i="17" s="1"/>
  <c r="D42" i="17" s="1"/>
  <c r="B41" i="17"/>
  <c r="C41" i="17" s="1"/>
  <c r="D41" i="17" s="1"/>
  <c r="B40" i="17"/>
  <c r="C40" i="17" s="1"/>
  <c r="D40" i="17" s="1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Y25" i="17"/>
  <c r="G25" i="17"/>
  <c r="F25" i="17"/>
  <c r="E25" i="17"/>
  <c r="D25" i="17"/>
  <c r="Y24" i="17"/>
  <c r="G24" i="17"/>
  <c r="F24" i="17"/>
  <c r="E24" i="17"/>
  <c r="D24" i="17"/>
  <c r="G23" i="17"/>
  <c r="F23" i="17"/>
  <c r="E23" i="17"/>
  <c r="D23" i="17"/>
  <c r="Y22" i="17"/>
  <c r="G22" i="17"/>
  <c r="F22" i="17"/>
  <c r="E22" i="17"/>
  <c r="D22" i="17"/>
  <c r="Y21" i="17"/>
  <c r="G21" i="17"/>
  <c r="F21" i="17"/>
  <c r="E21" i="17"/>
  <c r="D21" i="17"/>
  <c r="Y20" i="17"/>
  <c r="G20" i="17"/>
  <c r="G30" i="17" s="1"/>
  <c r="F20" i="17"/>
  <c r="F30" i="17" s="1"/>
  <c r="E20" i="17"/>
  <c r="E30" i="17" s="1"/>
  <c r="D20" i="17"/>
  <c r="D30" i="17" s="1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X10" i="17"/>
  <c r="G10" i="17"/>
  <c r="B39" i="17" s="1"/>
  <c r="D39" i="17" s="1"/>
  <c r="F10" i="17"/>
  <c r="E10" i="17"/>
  <c r="C39" i="17" s="1"/>
  <c r="D10" i="17"/>
  <c r="X9" i="17"/>
  <c r="G9" i="17"/>
  <c r="F9" i="17"/>
  <c r="B38" i="17" s="1"/>
  <c r="D38" i="17" s="1"/>
  <c r="E9" i="17"/>
  <c r="C38" i="17" s="1"/>
  <c r="D9" i="17"/>
  <c r="X8" i="17"/>
  <c r="G8" i="17"/>
  <c r="F8" i="17"/>
  <c r="B37" i="17" s="1"/>
  <c r="D37" i="17" s="1"/>
  <c r="E8" i="17"/>
  <c r="C37" i="17" s="1"/>
  <c r="D8" i="17"/>
  <c r="X7" i="17"/>
  <c r="G7" i="17"/>
  <c r="F7" i="17"/>
  <c r="B36" i="17" s="1"/>
  <c r="D36" i="17" s="1"/>
  <c r="E7" i="17"/>
  <c r="C36" i="17" s="1"/>
  <c r="D7" i="17"/>
  <c r="X6" i="17"/>
  <c r="G6" i="17"/>
  <c r="F6" i="17"/>
  <c r="B35" i="17" s="1"/>
  <c r="D35" i="17" s="1"/>
  <c r="E6" i="17"/>
  <c r="C35" i="17" s="1"/>
  <c r="D6" i="17"/>
  <c r="X5" i="17"/>
  <c r="G5" i="17"/>
  <c r="G15" i="17" s="1"/>
  <c r="F5" i="17"/>
  <c r="E5" i="17"/>
  <c r="D5" i="17"/>
  <c r="D15" i="17" s="1"/>
  <c r="I3" i="17"/>
  <c r="B57" i="16"/>
  <c r="C56" i="16"/>
  <c r="C55" i="16"/>
  <c r="C57" i="16" s="1"/>
  <c r="B50" i="16"/>
  <c r="C49" i="16"/>
  <c r="C48" i="16"/>
  <c r="C50" i="16" s="1"/>
  <c r="C59" i="16" s="1"/>
  <c r="B43" i="16"/>
  <c r="C43" i="16" s="1"/>
  <c r="D43" i="16" s="1"/>
  <c r="B42" i="16"/>
  <c r="C42" i="16" s="1"/>
  <c r="D42" i="16" s="1"/>
  <c r="B41" i="16"/>
  <c r="C41" i="16" s="1"/>
  <c r="D41" i="16" s="1"/>
  <c r="B40" i="16"/>
  <c r="C40" i="16" s="1"/>
  <c r="D40" i="16" s="1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Y25" i="16"/>
  <c r="G25" i="16"/>
  <c r="F25" i="16"/>
  <c r="E25" i="16"/>
  <c r="D25" i="16"/>
  <c r="Y24" i="16"/>
  <c r="G24" i="16"/>
  <c r="F24" i="16"/>
  <c r="E24" i="16"/>
  <c r="D24" i="16"/>
  <c r="Y23" i="16"/>
  <c r="G23" i="16"/>
  <c r="F23" i="16"/>
  <c r="E23" i="16"/>
  <c r="D23" i="16"/>
  <c r="Y22" i="16"/>
  <c r="G22" i="16"/>
  <c r="F22" i="16"/>
  <c r="E22" i="16"/>
  <c r="D22" i="16"/>
  <c r="Y21" i="16"/>
  <c r="G21" i="16"/>
  <c r="F21" i="16"/>
  <c r="E21" i="16"/>
  <c r="D21" i="16"/>
  <c r="Y20" i="16"/>
  <c r="G20" i="16"/>
  <c r="G30" i="16" s="1"/>
  <c r="F20" i="16"/>
  <c r="F30" i="16" s="1"/>
  <c r="E20" i="16"/>
  <c r="E30" i="16" s="1"/>
  <c r="D20" i="16"/>
  <c r="D30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X10" i="16"/>
  <c r="G10" i="16"/>
  <c r="B39" i="16" s="1"/>
  <c r="D39" i="16" s="1"/>
  <c r="F10" i="16"/>
  <c r="E10" i="16"/>
  <c r="C39" i="16" s="1"/>
  <c r="D10" i="16"/>
  <c r="X9" i="16"/>
  <c r="G9" i="16"/>
  <c r="F9" i="16"/>
  <c r="B38" i="16" s="1"/>
  <c r="D38" i="16" s="1"/>
  <c r="E9" i="16"/>
  <c r="C38" i="16" s="1"/>
  <c r="D9" i="16"/>
  <c r="X8" i="16"/>
  <c r="G8" i="16"/>
  <c r="F8" i="16"/>
  <c r="B37" i="16" s="1"/>
  <c r="D37" i="16" s="1"/>
  <c r="E8" i="16"/>
  <c r="C37" i="16" s="1"/>
  <c r="D8" i="16"/>
  <c r="X7" i="16"/>
  <c r="G7" i="16"/>
  <c r="F7" i="16"/>
  <c r="B36" i="16" s="1"/>
  <c r="D36" i="16" s="1"/>
  <c r="E7" i="16"/>
  <c r="C36" i="16" s="1"/>
  <c r="D7" i="16"/>
  <c r="X6" i="16"/>
  <c r="G6" i="16"/>
  <c r="F6" i="16"/>
  <c r="B35" i="16" s="1"/>
  <c r="D35" i="16" s="1"/>
  <c r="E6" i="16"/>
  <c r="C35" i="16" s="1"/>
  <c r="D6" i="16"/>
  <c r="X5" i="16"/>
  <c r="G5" i="16"/>
  <c r="G15" i="16" s="1"/>
  <c r="F5" i="16"/>
  <c r="E5" i="16"/>
  <c r="D5" i="16"/>
  <c r="D15" i="16" s="1"/>
  <c r="I3" i="16"/>
  <c r="B57" i="15"/>
  <c r="C56" i="15"/>
  <c r="C55" i="15"/>
  <c r="C57" i="15" s="1"/>
  <c r="B50" i="15"/>
  <c r="C49" i="15"/>
  <c r="C48" i="15"/>
  <c r="C50" i="15" s="1"/>
  <c r="C59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Y25" i="15"/>
  <c r="G25" i="15"/>
  <c r="F25" i="15"/>
  <c r="E25" i="15"/>
  <c r="D25" i="15"/>
  <c r="Y24" i="15"/>
  <c r="G24" i="15"/>
  <c r="F24" i="15"/>
  <c r="E24" i="15"/>
  <c r="D24" i="15"/>
  <c r="Y23" i="15"/>
  <c r="G23" i="15"/>
  <c r="F23" i="15"/>
  <c r="E23" i="15"/>
  <c r="D23" i="15"/>
  <c r="Y22" i="15"/>
  <c r="G22" i="15"/>
  <c r="F22" i="15"/>
  <c r="E22" i="15"/>
  <c r="D22" i="15"/>
  <c r="Y21" i="15"/>
  <c r="G21" i="15"/>
  <c r="F21" i="15"/>
  <c r="E21" i="15"/>
  <c r="D21" i="15"/>
  <c r="Y20" i="15"/>
  <c r="G20" i="15"/>
  <c r="G30" i="15" s="1"/>
  <c r="F20" i="15"/>
  <c r="F30" i="15" s="1"/>
  <c r="E20" i="15"/>
  <c r="E30" i="15" s="1"/>
  <c r="D20" i="15"/>
  <c r="D30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X10" i="15"/>
  <c r="G10" i="15"/>
  <c r="B39" i="15" s="1"/>
  <c r="D39" i="15" s="1"/>
  <c r="F10" i="15"/>
  <c r="E10" i="15"/>
  <c r="C39" i="15" s="1"/>
  <c r="D10" i="15"/>
  <c r="X9" i="15"/>
  <c r="G9" i="15"/>
  <c r="F9" i="15"/>
  <c r="B38" i="15" s="1"/>
  <c r="D38" i="15" s="1"/>
  <c r="E9" i="15"/>
  <c r="C38" i="15" s="1"/>
  <c r="D9" i="15"/>
  <c r="X8" i="15"/>
  <c r="G8" i="15"/>
  <c r="F8" i="15"/>
  <c r="B37" i="15" s="1"/>
  <c r="D37" i="15" s="1"/>
  <c r="E8" i="15"/>
  <c r="C37" i="15" s="1"/>
  <c r="D8" i="15"/>
  <c r="X7" i="15"/>
  <c r="G7" i="15"/>
  <c r="F7" i="15"/>
  <c r="B36" i="15" s="1"/>
  <c r="D36" i="15" s="1"/>
  <c r="E7" i="15"/>
  <c r="C36" i="15" s="1"/>
  <c r="D7" i="15"/>
  <c r="X6" i="15"/>
  <c r="G6" i="15"/>
  <c r="F6" i="15"/>
  <c r="B35" i="15" s="1"/>
  <c r="D35" i="15" s="1"/>
  <c r="E6" i="15"/>
  <c r="C35" i="15" s="1"/>
  <c r="D6" i="15"/>
  <c r="X5" i="15"/>
  <c r="G5" i="15"/>
  <c r="G15" i="15" s="1"/>
  <c r="F5" i="15"/>
  <c r="E5" i="15"/>
  <c r="D5" i="15"/>
  <c r="D15" i="15" s="1"/>
  <c r="I3" i="15"/>
  <c r="B57" i="14"/>
  <c r="C56" i="14"/>
  <c r="C55" i="14"/>
  <c r="C57" i="14" s="1"/>
  <c r="B50" i="14"/>
  <c r="C49" i="14"/>
  <c r="C48" i="14"/>
  <c r="C50" i="14" s="1"/>
  <c r="C59" i="14" s="1"/>
  <c r="B43" i="14"/>
  <c r="C43" i="14" s="1"/>
  <c r="D43" i="14" s="1"/>
  <c r="B42" i="14"/>
  <c r="C42" i="14" s="1"/>
  <c r="D42" i="14" s="1"/>
  <c r="B41" i="14"/>
  <c r="C41" i="14" s="1"/>
  <c r="D41" i="14" s="1"/>
  <c r="B40" i="14"/>
  <c r="C40" i="14" s="1"/>
  <c r="D40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Y25" i="14"/>
  <c r="G25" i="14"/>
  <c r="F25" i="14"/>
  <c r="E25" i="14"/>
  <c r="D25" i="14"/>
  <c r="Y24" i="14"/>
  <c r="G24" i="14"/>
  <c r="F24" i="14"/>
  <c r="E24" i="14"/>
  <c r="D24" i="14"/>
  <c r="Y23" i="14"/>
  <c r="G23" i="14"/>
  <c r="F23" i="14"/>
  <c r="E23" i="14"/>
  <c r="D23" i="14"/>
  <c r="Y22" i="14"/>
  <c r="G22" i="14"/>
  <c r="F22" i="14"/>
  <c r="E22" i="14"/>
  <c r="D22" i="14"/>
  <c r="Y21" i="14"/>
  <c r="G21" i="14"/>
  <c r="F21" i="14"/>
  <c r="E21" i="14"/>
  <c r="D21" i="14"/>
  <c r="Y20" i="14"/>
  <c r="G20" i="14"/>
  <c r="G30" i="14" s="1"/>
  <c r="F20" i="14"/>
  <c r="F30" i="14" s="1"/>
  <c r="E20" i="14"/>
  <c r="E30" i="14" s="1"/>
  <c r="D20" i="14"/>
  <c r="D30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X10" i="14"/>
  <c r="G10" i="14"/>
  <c r="B39" i="14" s="1"/>
  <c r="D39" i="14" s="1"/>
  <c r="F10" i="14"/>
  <c r="E10" i="14"/>
  <c r="C39" i="14" s="1"/>
  <c r="D10" i="14"/>
  <c r="X9" i="14"/>
  <c r="G9" i="14"/>
  <c r="F9" i="14"/>
  <c r="B38" i="14" s="1"/>
  <c r="D38" i="14" s="1"/>
  <c r="E9" i="14"/>
  <c r="C38" i="14" s="1"/>
  <c r="D9" i="14"/>
  <c r="X8" i="14"/>
  <c r="G8" i="14"/>
  <c r="F8" i="14"/>
  <c r="B37" i="14" s="1"/>
  <c r="D37" i="14" s="1"/>
  <c r="E8" i="14"/>
  <c r="C37" i="14" s="1"/>
  <c r="D8" i="14"/>
  <c r="X7" i="14"/>
  <c r="G7" i="14"/>
  <c r="F7" i="14"/>
  <c r="B36" i="14" s="1"/>
  <c r="D36" i="14" s="1"/>
  <c r="E7" i="14"/>
  <c r="C36" i="14" s="1"/>
  <c r="D7" i="14"/>
  <c r="X6" i="14"/>
  <c r="G6" i="14"/>
  <c r="F6" i="14"/>
  <c r="B35" i="14" s="1"/>
  <c r="D35" i="14" s="1"/>
  <c r="E6" i="14"/>
  <c r="C35" i="14" s="1"/>
  <c r="D6" i="14"/>
  <c r="X5" i="14"/>
  <c r="G5" i="14"/>
  <c r="G15" i="14" s="1"/>
  <c r="F5" i="14"/>
  <c r="E5" i="14"/>
  <c r="D5" i="14"/>
  <c r="D15" i="14" s="1"/>
  <c r="I3" i="14"/>
  <c r="B57" i="13"/>
  <c r="C56" i="13"/>
  <c r="C55" i="13"/>
  <c r="C57" i="13" s="1"/>
  <c r="B50" i="13"/>
  <c r="C49" i="13"/>
  <c r="C48" i="13"/>
  <c r="C50" i="13" s="1"/>
  <c r="C59" i="13" s="1"/>
  <c r="B43" i="13"/>
  <c r="C43" i="13" s="1"/>
  <c r="D43" i="13" s="1"/>
  <c r="B42" i="13"/>
  <c r="C42" i="13" s="1"/>
  <c r="D42" i="13" s="1"/>
  <c r="B41" i="13"/>
  <c r="C41" i="13" s="1"/>
  <c r="D41" i="13" s="1"/>
  <c r="B40" i="13"/>
  <c r="C40" i="13" s="1"/>
  <c r="D40" i="13" s="1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Y25" i="13"/>
  <c r="G25" i="13"/>
  <c r="F25" i="13"/>
  <c r="E25" i="13"/>
  <c r="D25" i="13"/>
  <c r="Y24" i="13"/>
  <c r="G24" i="13"/>
  <c r="F24" i="13"/>
  <c r="E24" i="13"/>
  <c r="D24" i="13"/>
  <c r="Y23" i="13"/>
  <c r="G23" i="13"/>
  <c r="F23" i="13"/>
  <c r="E23" i="13"/>
  <c r="D23" i="13"/>
  <c r="Y22" i="13"/>
  <c r="G22" i="13"/>
  <c r="F22" i="13"/>
  <c r="E22" i="13"/>
  <c r="D22" i="13"/>
  <c r="Y21" i="13"/>
  <c r="G21" i="13"/>
  <c r="F21" i="13"/>
  <c r="E21" i="13"/>
  <c r="D21" i="13"/>
  <c r="Y20" i="13"/>
  <c r="G20" i="13"/>
  <c r="G30" i="13" s="1"/>
  <c r="F20" i="13"/>
  <c r="F30" i="13" s="1"/>
  <c r="E20" i="13"/>
  <c r="E30" i="13" s="1"/>
  <c r="D20" i="13"/>
  <c r="D30" i="13" s="1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X10" i="13"/>
  <c r="G10" i="13"/>
  <c r="B39" i="13" s="1"/>
  <c r="D39" i="13" s="1"/>
  <c r="F10" i="13"/>
  <c r="E10" i="13"/>
  <c r="C39" i="13" s="1"/>
  <c r="D10" i="13"/>
  <c r="X9" i="13"/>
  <c r="G9" i="13"/>
  <c r="F9" i="13"/>
  <c r="B38" i="13" s="1"/>
  <c r="D38" i="13" s="1"/>
  <c r="E9" i="13"/>
  <c r="C38" i="13" s="1"/>
  <c r="D9" i="13"/>
  <c r="X8" i="13"/>
  <c r="G8" i="13"/>
  <c r="F8" i="13"/>
  <c r="B37" i="13" s="1"/>
  <c r="D37" i="13" s="1"/>
  <c r="E8" i="13"/>
  <c r="C37" i="13" s="1"/>
  <c r="D8" i="13"/>
  <c r="X7" i="13"/>
  <c r="G7" i="13"/>
  <c r="F7" i="13"/>
  <c r="B36" i="13" s="1"/>
  <c r="D36" i="13" s="1"/>
  <c r="E7" i="13"/>
  <c r="C36" i="13" s="1"/>
  <c r="D7" i="13"/>
  <c r="X6" i="13"/>
  <c r="G6" i="13"/>
  <c r="F6" i="13"/>
  <c r="B35" i="13" s="1"/>
  <c r="D35" i="13" s="1"/>
  <c r="E6" i="13"/>
  <c r="C35" i="13" s="1"/>
  <c r="D6" i="13"/>
  <c r="X5" i="13"/>
  <c r="G5" i="13"/>
  <c r="G15" i="13" s="1"/>
  <c r="F5" i="13"/>
  <c r="E5" i="13"/>
  <c r="D5" i="13"/>
  <c r="D15" i="13" s="1"/>
  <c r="I3" i="13"/>
  <c r="C52" i="12"/>
  <c r="B46" i="12"/>
  <c r="C46" i="12" s="1"/>
  <c r="D46" i="12" s="1"/>
  <c r="B45" i="12"/>
  <c r="C45" i="12" s="1"/>
  <c r="D45" i="12" s="1"/>
  <c r="B44" i="12"/>
  <c r="C44" i="12" s="1"/>
  <c r="D44" i="12" s="1"/>
  <c r="B43" i="12"/>
  <c r="C43" i="12" s="1"/>
  <c r="D43" i="12" s="1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G32" i="12" s="1"/>
  <c r="F21" i="12"/>
  <c r="F32" i="12" s="1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1" i="12"/>
  <c r="B42" i="12" s="1"/>
  <c r="D42" i="12" s="1"/>
  <c r="F11" i="12"/>
  <c r="G10" i="12"/>
  <c r="F10" i="12"/>
  <c r="B41" i="12" s="1"/>
  <c r="D41" i="12" s="1"/>
  <c r="G9" i="12"/>
  <c r="F9" i="12"/>
  <c r="B40" i="12" s="1"/>
  <c r="D40" i="12" s="1"/>
  <c r="G8" i="12"/>
  <c r="F8" i="12"/>
  <c r="B39" i="12" s="1"/>
  <c r="D39" i="12" s="1"/>
  <c r="G7" i="12"/>
  <c r="F7" i="12"/>
  <c r="B38" i="12" s="1"/>
  <c r="D38" i="12" s="1"/>
  <c r="G6" i="12"/>
  <c r="F6" i="12"/>
  <c r="B37" i="12" s="1"/>
  <c r="D37" i="12" s="1"/>
  <c r="G5" i="12"/>
  <c r="G16" i="12" s="1"/>
  <c r="F5" i="12"/>
  <c r="I3" i="12"/>
  <c r="B60" i="11"/>
  <c r="C59" i="11"/>
  <c r="C58" i="11"/>
  <c r="C60" i="11" s="1"/>
  <c r="B53" i="11"/>
  <c r="C52" i="11"/>
  <c r="C51" i="11"/>
  <c r="C53" i="11" s="1"/>
  <c r="C62" i="11" s="1"/>
  <c r="B46" i="11"/>
  <c r="C46" i="11" s="1"/>
  <c r="D46" i="11" s="1"/>
  <c r="B45" i="11"/>
  <c r="C45" i="11" s="1"/>
  <c r="D45" i="11" s="1"/>
  <c r="B44" i="11"/>
  <c r="C44" i="11" s="1"/>
  <c r="D44" i="11" s="1"/>
  <c r="B43" i="11"/>
  <c r="C43" i="11" s="1"/>
  <c r="D43" i="11" s="1"/>
  <c r="B42" i="11"/>
  <c r="C42" i="11" s="1"/>
  <c r="D42" i="11" s="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Y26" i="11"/>
  <c r="G26" i="11"/>
  <c r="F26" i="11"/>
  <c r="E26" i="11"/>
  <c r="D26" i="11"/>
  <c r="Y25" i="11"/>
  <c r="G25" i="11"/>
  <c r="F25" i="11"/>
  <c r="E25" i="11"/>
  <c r="D25" i="11"/>
  <c r="Y24" i="11"/>
  <c r="G24" i="11"/>
  <c r="F24" i="11"/>
  <c r="E24" i="11"/>
  <c r="D24" i="11"/>
  <c r="Y23" i="11"/>
  <c r="G23" i="11"/>
  <c r="F23" i="11"/>
  <c r="E23" i="11"/>
  <c r="D23" i="11"/>
  <c r="Y22" i="11"/>
  <c r="G22" i="11"/>
  <c r="F22" i="11"/>
  <c r="E22" i="11"/>
  <c r="D22" i="11"/>
  <c r="Y21" i="11"/>
  <c r="G21" i="11"/>
  <c r="G32" i="11" s="1"/>
  <c r="F21" i="11"/>
  <c r="F32" i="11" s="1"/>
  <c r="E21" i="11"/>
  <c r="E32" i="11" s="1"/>
  <c r="D21" i="11"/>
  <c r="D32" i="11" s="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X10" i="11"/>
  <c r="G10" i="11"/>
  <c r="F10" i="11"/>
  <c r="B41" i="11" s="1"/>
  <c r="D41" i="11" s="1"/>
  <c r="E10" i="11"/>
  <c r="C41" i="11" s="1"/>
  <c r="D10" i="11"/>
  <c r="X9" i="11"/>
  <c r="G9" i="11"/>
  <c r="F9" i="11"/>
  <c r="B40" i="11" s="1"/>
  <c r="D40" i="11" s="1"/>
  <c r="E9" i="11"/>
  <c r="C40" i="11" s="1"/>
  <c r="D9" i="11"/>
  <c r="X8" i="11"/>
  <c r="G8" i="11"/>
  <c r="F8" i="11"/>
  <c r="B39" i="11" s="1"/>
  <c r="D39" i="11" s="1"/>
  <c r="E8" i="11"/>
  <c r="C39" i="11" s="1"/>
  <c r="D8" i="11"/>
  <c r="X7" i="11"/>
  <c r="G7" i="11"/>
  <c r="F7" i="11"/>
  <c r="B38" i="11" s="1"/>
  <c r="D38" i="11" s="1"/>
  <c r="E7" i="11"/>
  <c r="C38" i="11" s="1"/>
  <c r="D7" i="11"/>
  <c r="X6" i="11"/>
  <c r="G6" i="11"/>
  <c r="F6" i="11"/>
  <c r="B37" i="11" s="1"/>
  <c r="D37" i="11" s="1"/>
  <c r="E6" i="11"/>
  <c r="C37" i="11" s="1"/>
  <c r="D6" i="11"/>
  <c r="X5" i="11"/>
  <c r="G5" i="11"/>
  <c r="G16" i="11" s="1"/>
  <c r="F5" i="11"/>
  <c r="E5" i="11"/>
  <c r="D5" i="11"/>
  <c r="D16" i="11" s="1"/>
  <c r="I3" i="11"/>
  <c r="B60" i="10"/>
  <c r="C59" i="10"/>
  <c r="C58" i="10"/>
  <c r="C60" i="10" s="1"/>
  <c r="B53" i="10"/>
  <c r="C52" i="10"/>
  <c r="C51" i="10"/>
  <c r="C53" i="10" s="1"/>
  <c r="C62" i="10" s="1"/>
  <c r="B46" i="10"/>
  <c r="C46" i="10" s="1"/>
  <c r="D46" i="10" s="1"/>
  <c r="B45" i="10"/>
  <c r="C45" i="10" s="1"/>
  <c r="D45" i="10" s="1"/>
  <c r="B44" i="10"/>
  <c r="C44" i="10" s="1"/>
  <c r="D44" i="10" s="1"/>
  <c r="B43" i="10"/>
  <c r="C43" i="10" s="1"/>
  <c r="D43" i="10" s="1"/>
  <c r="B42" i="10"/>
  <c r="C42" i="10" s="1"/>
  <c r="D42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Y26" i="10"/>
  <c r="G26" i="10"/>
  <c r="F26" i="10"/>
  <c r="E26" i="10"/>
  <c r="D26" i="10"/>
  <c r="Y25" i="10"/>
  <c r="G25" i="10"/>
  <c r="F25" i="10"/>
  <c r="E25" i="10"/>
  <c r="D25" i="10"/>
  <c r="Y24" i="10"/>
  <c r="G24" i="10"/>
  <c r="F24" i="10"/>
  <c r="E24" i="10"/>
  <c r="D24" i="10"/>
  <c r="Y23" i="10"/>
  <c r="G23" i="10"/>
  <c r="F23" i="10"/>
  <c r="E23" i="10"/>
  <c r="D23" i="10"/>
  <c r="Y22" i="10"/>
  <c r="G22" i="10"/>
  <c r="F22" i="10"/>
  <c r="E22" i="10"/>
  <c r="D22" i="10"/>
  <c r="Y21" i="10"/>
  <c r="G21" i="10"/>
  <c r="G32" i="10" s="1"/>
  <c r="F21" i="10"/>
  <c r="F32" i="10" s="1"/>
  <c r="E21" i="10"/>
  <c r="E32" i="10" s="1"/>
  <c r="D21" i="10"/>
  <c r="D32" i="10" s="1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X10" i="10"/>
  <c r="G10" i="10"/>
  <c r="F10" i="10"/>
  <c r="B41" i="10" s="1"/>
  <c r="D41" i="10" s="1"/>
  <c r="E10" i="10"/>
  <c r="C41" i="10" s="1"/>
  <c r="D10" i="10"/>
  <c r="X9" i="10"/>
  <c r="G9" i="10"/>
  <c r="F9" i="10"/>
  <c r="B40" i="10" s="1"/>
  <c r="D40" i="10" s="1"/>
  <c r="E9" i="10"/>
  <c r="C40" i="10" s="1"/>
  <c r="D9" i="10"/>
  <c r="X8" i="10"/>
  <c r="G8" i="10"/>
  <c r="F8" i="10"/>
  <c r="B39" i="10" s="1"/>
  <c r="D39" i="10" s="1"/>
  <c r="E8" i="10"/>
  <c r="C39" i="10" s="1"/>
  <c r="D8" i="10"/>
  <c r="X7" i="10"/>
  <c r="G7" i="10"/>
  <c r="F7" i="10"/>
  <c r="B38" i="10" s="1"/>
  <c r="D38" i="10" s="1"/>
  <c r="E7" i="10"/>
  <c r="C38" i="10" s="1"/>
  <c r="D7" i="10"/>
  <c r="X6" i="10"/>
  <c r="G6" i="10"/>
  <c r="F6" i="10"/>
  <c r="B37" i="10" s="1"/>
  <c r="D37" i="10" s="1"/>
  <c r="E6" i="10"/>
  <c r="C37" i="10" s="1"/>
  <c r="D6" i="10"/>
  <c r="X5" i="10"/>
  <c r="G5" i="10"/>
  <c r="G16" i="10" s="1"/>
  <c r="F5" i="10"/>
  <c r="E5" i="10"/>
  <c r="D5" i="10"/>
  <c r="D16" i="10" s="1"/>
  <c r="I3" i="10"/>
  <c r="B60" i="9"/>
  <c r="C59" i="9"/>
  <c r="C58" i="9"/>
  <c r="C60" i="9" s="1"/>
  <c r="B53" i="9"/>
  <c r="C52" i="9"/>
  <c r="C51" i="9"/>
  <c r="C53" i="9" s="1"/>
  <c r="C62" i="9" s="1"/>
  <c r="B46" i="9"/>
  <c r="C46" i="9" s="1"/>
  <c r="D46" i="9" s="1"/>
  <c r="B45" i="9"/>
  <c r="C45" i="9" s="1"/>
  <c r="D45" i="9" s="1"/>
  <c r="B44" i="9"/>
  <c r="C44" i="9" s="1"/>
  <c r="D44" i="9" s="1"/>
  <c r="B43" i="9"/>
  <c r="C43" i="9" s="1"/>
  <c r="D43" i="9" s="1"/>
  <c r="B42" i="9"/>
  <c r="C42" i="9" s="1"/>
  <c r="D4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Y26" i="9"/>
  <c r="G26" i="9"/>
  <c r="F26" i="9"/>
  <c r="E26" i="9"/>
  <c r="D26" i="9"/>
  <c r="Y25" i="9"/>
  <c r="G25" i="9"/>
  <c r="F25" i="9"/>
  <c r="E25" i="9"/>
  <c r="D25" i="9"/>
  <c r="Y24" i="9"/>
  <c r="G24" i="9"/>
  <c r="F24" i="9"/>
  <c r="E24" i="9"/>
  <c r="D24" i="9"/>
  <c r="Y23" i="9"/>
  <c r="G23" i="9"/>
  <c r="F23" i="9"/>
  <c r="E23" i="9"/>
  <c r="D23" i="9"/>
  <c r="Y22" i="9"/>
  <c r="G22" i="9"/>
  <c r="F22" i="9"/>
  <c r="E22" i="9"/>
  <c r="D22" i="9"/>
  <c r="Y21" i="9"/>
  <c r="G21" i="9"/>
  <c r="G32" i="9" s="1"/>
  <c r="F21" i="9"/>
  <c r="F32" i="9" s="1"/>
  <c r="E21" i="9"/>
  <c r="E32" i="9" s="1"/>
  <c r="D21" i="9"/>
  <c r="D32" i="9" s="1"/>
  <c r="X20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X10" i="9"/>
  <c r="G10" i="9"/>
  <c r="F10" i="9"/>
  <c r="B41" i="9" s="1"/>
  <c r="D41" i="9" s="1"/>
  <c r="E10" i="9"/>
  <c r="C41" i="9" s="1"/>
  <c r="D10" i="9"/>
  <c r="X9" i="9"/>
  <c r="G9" i="9"/>
  <c r="F9" i="9"/>
  <c r="B40" i="9" s="1"/>
  <c r="D40" i="9" s="1"/>
  <c r="E9" i="9"/>
  <c r="C40" i="9" s="1"/>
  <c r="D9" i="9"/>
  <c r="X8" i="9"/>
  <c r="G8" i="9"/>
  <c r="F8" i="9"/>
  <c r="B39" i="9" s="1"/>
  <c r="D39" i="9" s="1"/>
  <c r="E8" i="9"/>
  <c r="C39" i="9" s="1"/>
  <c r="D8" i="9"/>
  <c r="X7" i="9"/>
  <c r="G7" i="9"/>
  <c r="F7" i="9"/>
  <c r="B38" i="9" s="1"/>
  <c r="D38" i="9" s="1"/>
  <c r="E7" i="9"/>
  <c r="C38" i="9" s="1"/>
  <c r="D7" i="9"/>
  <c r="X6" i="9"/>
  <c r="G6" i="9"/>
  <c r="F6" i="9"/>
  <c r="B37" i="9" s="1"/>
  <c r="D37" i="9" s="1"/>
  <c r="E6" i="9"/>
  <c r="C37" i="9" s="1"/>
  <c r="D6" i="9"/>
  <c r="X5" i="9"/>
  <c r="G5" i="9"/>
  <c r="G16" i="9" s="1"/>
  <c r="F5" i="9"/>
  <c r="E5" i="9"/>
  <c r="D5" i="9"/>
  <c r="D16" i="9" s="1"/>
  <c r="I3" i="9"/>
  <c r="B60" i="8"/>
  <c r="C59" i="8"/>
  <c r="C58" i="8"/>
  <c r="C60" i="8" s="1"/>
  <c r="B53" i="8"/>
  <c r="C52" i="8"/>
  <c r="C51" i="8"/>
  <c r="C53" i="8" s="1"/>
  <c r="C62" i="8" s="1"/>
  <c r="B46" i="8"/>
  <c r="C46" i="8" s="1"/>
  <c r="D46" i="8" s="1"/>
  <c r="B45" i="8"/>
  <c r="C45" i="8" s="1"/>
  <c r="D45" i="8" s="1"/>
  <c r="B44" i="8"/>
  <c r="C44" i="8" s="1"/>
  <c r="D44" i="8" s="1"/>
  <c r="B43" i="8"/>
  <c r="C43" i="8" s="1"/>
  <c r="D43" i="8" s="1"/>
  <c r="B42" i="8"/>
  <c r="C42" i="8" s="1"/>
  <c r="D42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Y26" i="8"/>
  <c r="G26" i="8"/>
  <c r="F26" i="8"/>
  <c r="E26" i="8"/>
  <c r="D26" i="8"/>
  <c r="Y25" i="8"/>
  <c r="G25" i="8"/>
  <c r="F25" i="8"/>
  <c r="E25" i="8"/>
  <c r="D25" i="8"/>
  <c r="Y24" i="8"/>
  <c r="G24" i="8"/>
  <c r="F24" i="8"/>
  <c r="E24" i="8"/>
  <c r="D24" i="8"/>
  <c r="Y23" i="8"/>
  <c r="G23" i="8"/>
  <c r="F23" i="8"/>
  <c r="E23" i="8"/>
  <c r="D23" i="8"/>
  <c r="Y22" i="8"/>
  <c r="G22" i="8"/>
  <c r="F22" i="8"/>
  <c r="E22" i="8"/>
  <c r="D22" i="8"/>
  <c r="Y21" i="8"/>
  <c r="G21" i="8"/>
  <c r="G32" i="8" s="1"/>
  <c r="F21" i="8"/>
  <c r="F32" i="8" s="1"/>
  <c r="E21" i="8"/>
  <c r="E32" i="8" s="1"/>
  <c r="D21" i="8"/>
  <c r="D32" i="8" s="1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X10" i="8"/>
  <c r="G10" i="8"/>
  <c r="F10" i="8"/>
  <c r="B41" i="8" s="1"/>
  <c r="D41" i="8" s="1"/>
  <c r="E10" i="8"/>
  <c r="C41" i="8" s="1"/>
  <c r="D10" i="8"/>
  <c r="X9" i="8"/>
  <c r="G9" i="8"/>
  <c r="F9" i="8"/>
  <c r="B40" i="8" s="1"/>
  <c r="D40" i="8" s="1"/>
  <c r="E9" i="8"/>
  <c r="C40" i="8" s="1"/>
  <c r="D9" i="8"/>
  <c r="X8" i="8"/>
  <c r="G8" i="8"/>
  <c r="F8" i="8"/>
  <c r="B39" i="8" s="1"/>
  <c r="D39" i="8" s="1"/>
  <c r="E8" i="8"/>
  <c r="C39" i="8" s="1"/>
  <c r="D8" i="8"/>
  <c r="X7" i="8"/>
  <c r="G7" i="8"/>
  <c r="F7" i="8"/>
  <c r="B38" i="8" s="1"/>
  <c r="D38" i="8" s="1"/>
  <c r="E7" i="8"/>
  <c r="C38" i="8" s="1"/>
  <c r="D7" i="8"/>
  <c r="X6" i="8"/>
  <c r="G6" i="8"/>
  <c r="F6" i="8"/>
  <c r="B37" i="8" s="1"/>
  <c r="D37" i="8" s="1"/>
  <c r="E6" i="8"/>
  <c r="C37" i="8" s="1"/>
  <c r="D6" i="8"/>
  <c r="X5" i="8"/>
  <c r="G5" i="8"/>
  <c r="G16" i="8" s="1"/>
  <c r="F5" i="8"/>
  <c r="E5" i="8"/>
  <c r="D5" i="8"/>
  <c r="D16" i="8" s="1"/>
  <c r="I3" i="8"/>
  <c r="B60" i="7"/>
  <c r="C59" i="7"/>
  <c r="C58" i="7"/>
  <c r="C60" i="7" s="1"/>
  <c r="B53" i="7"/>
  <c r="C52" i="7"/>
  <c r="C51" i="7"/>
  <c r="C53" i="7" s="1"/>
  <c r="C62" i="7" s="1"/>
  <c r="B46" i="7"/>
  <c r="C46" i="7" s="1"/>
  <c r="D46" i="7" s="1"/>
  <c r="B45" i="7"/>
  <c r="C45" i="7" s="1"/>
  <c r="D45" i="7" s="1"/>
  <c r="B44" i="7"/>
  <c r="C44" i="7" s="1"/>
  <c r="D44" i="7" s="1"/>
  <c r="B43" i="7"/>
  <c r="C43" i="7" s="1"/>
  <c r="D43" i="7" s="1"/>
  <c r="B42" i="7"/>
  <c r="C42" i="7" s="1"/>
  <c r="D42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Y26" i="7"/>
  <c r="G26" i="7"/>
  <c r="F26" i="7"/>
  <c r="E26" i="7"/>
  <c r="D26" i="7"/>
  <c r="Y25" i="7"/>
  <c r="G25" i="7"/>
  <c r="F25" i="7"/>
  <c r="E25" i="7"/>
  <c r="D25" i="7"/>
  <c r="Y24" i="7"/>
  <c r="G24" i="7"/>
  <c r="F24" i="7"/>
  <c r="E24" i="7"/>
  <c r="D24" i="7"/>
  <c r="Y23" i="7"/>
  <c r="G23" i="7"/>
  <c r="F23" i="7"/>
  <c r="E23" i="7"/>
  <c r="D23" i="7"/>
  <c r="Y22" i="7"/>
  <c r="G22" i="7"/>
  <c r="F22" i="7"/>
  <c r="E22" i="7"/>
  <c r="D22" i="7"/>
  <c r="Y21" i="7"/>
  <c r="G21" i="7"/>
  <c r="G32" i="7" s="1"/>
  <c r="F21" i="7"/>
  <c r="F32" i="7" s="1"/>
  <c r="E21" i="7"/>
  <c r="E32" i="7" s="1"/>
  <c r="D21" i="7"/>
  <c r="D32" i="7" s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X10" i="7"/>
  <c r="G10" i="7"/>
  <c r="F10" i="7"/>
  <c r="B41" i="7" s="1"/>
  <c r="D41" i="7" s="1"/>
  <c r="E10" i="7"/>
  <c r="C41" i="7" s="1"/>
  <c r="D10" i="7"/>
  <c r="X9" i="7"/>
  <c r="G9" i="7"/>
  <c r="F9" i="7"/>
  <c r="B40" i="7" s="1"/>
  <c r="D40" i="7" s="1"/>
  <c r="E9" i="7"/>
  <c r="C40" i="7" s="1"/>
  <c r="D9" i="7"/>
  <c r="X8" i="7"/>
  <c r="G8" i="7"/>
  <c r="F8" i="7"/>
  <c r="B39" i="7" s="1"/>
  <c r="D39" i="7" s="1"/>
  <c r="E8" i="7"/>
  <c r="C39" i="7" s="1"/>
  <c r="D8" i="7"/>
  <c r="X7" i="7"/>
  <c r="G7" i="7"/>
  <c r="F7" i="7"/>
  <c r="B38" i="7" s="1"/>
  <c r="D38" i="7" s="1"/>
  <c r="E7" i="7"/>
  <c r="C38" i="7" s="1"/>
  <c r="D7" i="7"/>
  <c r="X6" i="7"/>
  <c r="G6" i="7"/>
  <c r="F6" i="7"/>
  <c r="B37" i="7" s="1"/>
  <c r="D37" i="7" s="1"/>
  <c r="E6" i="7"/>
  <c r="C37" i="7" s="1"/>
  <c r="D6" i="7"/>
  <c r="X5" i="7"/>
  <c r="G5" i="7"/>
  <c r="G16" i="7" s="1"/>
  <c r="F5" i="7"/>
  <c r="E5" i="7"/>
  <c r="D5" i="7"/>
  <c r="D16" i="7" s="1"/>
  <c r="I3" i="7"/>
  <c r="B60" i="6"/>
  <c r="C59" i="6"/>
  <c r="C58" i="6"/>
  <c r="C60" i="6" s="1"/>
  <c r="B53" i="6"/>
  <c r="C52" i="6"/>
  <c r="C51" i="6"/>
  <c r="C53" i="6" s="1"/>
  <c r="C62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Y26" i="6"/>
  <c r="G26" i="6"/>
  <c r="F26" i="6"/>
  <c r="E26" i="6"/>
  <c r="D26" i="6"/>
  <c r="Y25" i="6"/>
  <c r="G25" i="6"/>
  <c r="F25" i="6"/>
  <c r="E25" i="6"/>
  <c r="D25" i="6"/>
  <c r="Y24" i="6"/>
  <c r="G24" i="6"/>
  <c r="F24" i="6"/>
  <c r="E24" i="6"/>
  <c r="D24" i="6"/>
  <c r="Y23" i="6"/>
  <c r="G23" i="6"/>
  <c r="F23" i="6"/>
  <c r="E23" i="6"/>
  <c r="D23" i="6"/>
  <c r="Y22" i="6"/>
  <c r="G22" i="6"/>
  <c r="F22" i="6"/>
  <c r="E22" i="6"/>
  <c r="D22" i="6"/>
  <c r="Y21" i="6"/>
  <c r="G21" i="6"/>
  <c r="G32" i="6" s="1"/>
  <c r="F21" i="6"/>
  <c r="F32" i="6" s="1"/>
  <c r="E21" i="6"/>
  <c r="E32" i="6" s="1"/>
  <c r="D21" i="6"/>
  <c r="D32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X10" i="6"/>
  <c r="G10" i="6"/>
  <c r="F10" i="6"/>
  <c r="B41" i="6" s="1"/>
  <c r="D41" i="6" s="1"/>
  <c r="E10" i="6"/>
  <c r="C41" i="6" s="1"/>
  <c r="D10" i="6"/>
  <c r="X9" i="6"/>
  <c r="G9" i="6"/>
  <c r="F9" i="6"/>
  <c r="B40" i="6" s="1"/>
  <c r="D40" i="6" s="1"/>
  <c r="E9" i="6"/>
  <c r="C40" i="6" s="1"/>
  <c r="D9" i="6"/>
  <c r="X8" i="6"/>
  <c r="G8" i="6"/>
  <c r="F8" i="6"/>
  <c r="B39" i="6" s="1"/>
  <c r="D39" i="6" s="1"/>
  <c r="E8" i="6"/>
  <c r="C39" i="6" s="1"/>
  <c r="D8" i="6"/>
  <c r="X7" i="6"/>
  <c r="G7" i="6"/>
  <c r="F7" i="6"/>
  <c r="B38" i="6" s="1"/>
  <c r="D38" i="6" s="1"/>
  <c r="E7" i="6"/>
  <c r="C38" i="6" s="1"/>
  <c r="D7" i="6"/>
  <c r="X6" i="6"/>
  <c r="G6" i="6"/>
  <c r="F6" i="6"/>
  <c r="B37" i="6" s="1"/>
  <c r="D37" i="6" s="1"/>
  <c r="E6" i="6"/>
  <c r="C37" i="6" s="1"/>
  <c r="D6" i="6"/>
  <c r="X5" i="6"/>
  <c r="G5" i="6"/>
  <c r="G16" i="6" s="1"/>
  <c r="F5" i="6"/>
  <c r="E5" i="6"/>
  <c r="D5" i="6"/>
  <c r="D16" i="6" s="1"/>
  <c r="I3" i="6"/>
  <c r="B60" i="5"/>
  <c r="C59" i="5"/>
  <c r="C58" i="5"/>
  <c r="C60" i="5" s="1"/>
  <c r="B53" i="5"/>
  <c r="C52" i="5"/>
  <c r="C51" i="5"/>
  <c r="C53" i="5" s="1"/>
  <c r="C62" i="5" s="1"/>
  <c r="B46" i="5"/>
  <c r="C46" i="5" s="1"/>
  <c r="D46" i="5" s="1"/>
  <c r="B45" i="5"/>
  <c r="C45" i="5" s="1"/>
  <c r="D45" i="5" s="1"/>
  <c r="B44" i="5"/>
  <c r="C44" i="5" s="1"/>
  <c r="D44" i="5" s="1"/>
  <c r="B43" i="5"/>
  <c r="C43" i="5" s="1"/>
  <c r="D43" i="5" s="1"/>
  <c r="B42" i="5"/>
  <c r="C42" i="5" s="1"/>
  <c r="D42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Y26" i="5"/>
  <c r="G26" i="5"/>
  <c r="F26" i="5"/>
  <c r="E26" i="5"/>
  <c r="D26" i="5"/>
  <c r="Y25" i="5"/>
  <c r="G25" i="5"/>
  <c r="F25" i="5"/>
  <c r="E25" i="5"/>
  <c r="D25" i="5"/>
  <c r="Y24" i="5"/>
  <c r="G24" i="5"/>
  <c r="F24" i="5"/>
  <c r="E24" i="5"/>
  <c r="D24" i="5"/>
  <c r="Y23" i="5"/>
  <c r="G23" i="5"/>
  <c r="F23" i="5"/>
  <c r="E23" i="5"/>
  <c r="D23" i="5"/>
  <c r="Y22" i="5"/>
  <c r="G22" i="5"/>
  <c r="F22" i="5"/>
  <c r="E22" i="5"/>
  <c r="D22" i="5"/>
  <c r="Y21" i="5"/>
  <c r="G21" i="5"/>
  <c r="G32" i="5" s="1"/>
  <c r="F21" i="5"/>
  <c r="F32" i="5" s="1"/>
  <c r="E21" i="5"/>
  <c r="E32" i="5" s="1"/>
  <c r="D21" i="5"/>
  <c r="D32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X10" i="5"/>
  <c r="G10" i="5"/>
  <c r="F10" i="5"/>
  <c r="B41" i="5" s="1"/>
  <c r="D41" i="5" s="1"/>
  <c r="E10" i="5"/>
  <c r="C41" i="5" s="1"/>
  <c r="D10" i="5"/>
  <c r="X9" i="5"/>
  <c r="G9" i="5"/>
  <c r="F9" i="5"/>
  <c r="B40" i="5" s="1"/>
  <c r="D40" i="5" s="1"/>
  <c r="E9" i="5"/>
  <c r="C40" i="5" s="1"/>
  <c r="D9" i="5"/>
  <c r="X8" i="5"/>
  <c r="G8" i="5"/>
  <c r="F8" i="5"/>
  <c r="B39" i="5" s="1"/>
  <c r="D39" i="5" s="1"/>
  <c r="E8" i="5"/>
  <c r="C39" i="5" s="1"/>
  <c r="D8" i="5"/>
  <c r="X7" i="5"/>
  <c r="G7" i="5"/>
  <c r="F7" i="5"/>
  <c r="B38" i="5" s="1"/>
  <c r="D38" i="5" s="1"/>
  <c r="E7" i="5"/>
  <c r="C38" i="5" s="1"/>
  <c r="D7" i="5"/>
  <c r="X6" i="5"/>
  <c r="G6" i="5"/>
  <c r="F6" i="5"/>
  <c r="B37" i="5" s="1"/>
  <c r="D37" i="5" s="1"/>
  <c r="E6" i="5"/>
  <c r="C37" i="5" s="1"/>
  <c r="D6" i="5"/>
  <c r="X5" i="5"/>
  <c r="G5" i="5"/>
  <c r="G16" i="5" s="1"/>
  <c r="F5" i="5"/>
  <c r="E5" i="5"/>
  <c r="D5" i="5"/>
  <c r="D16" i="5" s="1"/>
  <c r="I3" i="5"/>
  <c r="B60" i="4"/>
  <c r="C59" i="4"/>
  <c r="C58" i="4"/>
  <c r="C60" i="4" s="1"/>
  <c r="B53" i="4"/>
  <c r="C52" i="4"/>
  <c r="C51" i="4"/>
  <c r="C53" i="4" s="1"/>
  <c r="C62" i="4" s="1"/>
  <c r="B46" i="4"/>
  <c r="C46" i="4" s="1"/>
  <c r="D46" i="4" s="1"/>
  <c r="B45" i="4"/>
  <c r="C45" i="4" s="1"/>
  <c r="D45" i="4" s="1"/>
  <c r="B44" i="4"/>
  <c r="C44" i="4" s="1"/>
  <c r="D44" i="4" s="1"/>
  <c r="B43" i="4"/>
  <c r="C43" i="4" s="1"/>
  <c r="D43" i="4" s="1"/>
  <c r="B42" i="4"/>
  <c r="C42" i="4" s="1"/>
  <c r="D42" i="4" s="1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Y26" i="4"/>
  <c r="G26" i="4"/>
  <c r="F26" i="4"/>
  <c r="E26" i="4"/>
  <c r="D26" i="4"/>
  <c r="Y25" i="4"/>
  <c r="G25" i="4"/>
  <c r="F25" i="4"/>
  <c r="E25" i="4"/>
  <c r="D25" i="4"/>
  <c r="Y24" i="4"/>
  <c r="G24" i="4"/>
  <c r="F24" i="4"/>
  <c r="E24" i="4"/>
  <c r="D24" i="4"/>
  <c r="Y23" i="4"/>
  <c r="G23" i="4"/>
  <c r="F23" i="4"/>
  <c r="E23" i="4"/>
  <c r="D23" i="4"/>
  <c r="Y22" i="4"/>
  <c r="G22" i="4"/>
  <c r="F22" i="4"/>
  <c r="E22" i="4"/>
  <c r="D22" i="4"/>
  <c r="Y21" i="4"/>
  <c r="G21" i="4"/>
  <c r="G32" i="4" s="1"/>
  <c r="F21" i="4"/>
  <c r="F32" i="4" s="1"/>
  <c r="E21" i="4"/>
  <c r="E32" i="4" s="1"/>
  <c r="D21" i="4"/>
  <c r="D32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X10" i="4"/>
  <c r="G10" i="4"/>
  <c r="F10" i="4"/>
  <c r="B41" i="4" s="1"/>
  <c r="D41" i="4" s="1"/>
  <c r="E10" i="4"/>
  <c r="C41" i="4" s="1"/>
  <c r="D10" i="4"/>
  <c r="X9" i="4"/>
  <c r="G9" i="4"/>
  <c r="F9" i="4"/>
  <c r="B40" i="4" s="1"/>
  <c r="D40" i="4" s="1"/>
  <c r="E9" i="4"/>
  <c r="C40" i="4" s="1"/>
  <c r="D9" i="4"/>
  <c r="X8" i="4"/>
  <c r="G8" i="4"/>
  <c r="F8" i="4"/>
  <c r="B39" i="4" s="1"/>
  <c r="D39" i="4" s="1"/>
  <c r="E8" i="4"/>
  <c r="C39" i="4" s="1"/>
  <c r="D8" i="4"/>
  <c r="X7" i="4"/>
  <c r="G7" i="4"/>
  <c r="F7" i="4"/>
  <c r="B38" i="4" s="1"/>
  <c r="D38" i="4" s="1"/>
  <c r="E7" i="4"/>
  <c r="C38" i="4" s="1"/>
  <c r="D7" i="4"/>
  <c r="X6" i="4"/>
  <c r="G6" i="4"/>
  <c r="F6" i="4"/>
  <c r="B37" i="4" s="1"/>
  <c r="D37" i="4" s="1"/>
  <c r="E6" i="4"/>
  <c r="C37" i="4" s="1"/>
  <c r="D6" i="4"/>
  <c r="X5" i="4"/>
  <c r="G5" i="4"/>
  <c r="G16" i="4" s="1"/>
  <c r="F5" i="4"/>
  <c r="E5" i="4"/>
  <c r="D5" i="4"/>
  <c r="D16" i="4" s="1"/>
  <c r="I3" i="4"/>
  <c r="B60" i="3"/>
  <c r="C59" i="3"/>
  <c r="C58" i="3"/>
  <c r="C60" i="3" s="1"/>
  <c r="B53" i="3"/>
  <c r="C52" i="3"/>
  <c r="C51" i="3"/>
  <c r="C53" i="3" s="1"/>
  <c r="C62" i="3" s="1"/>
  <c r="B46" i="3"/>
  <c r="C46" i="3" s="1"/>
  <c r="D46" i="3" s="1"/>
  <c r="B45" i="3"/>
  <c r="C45" i="3" s="1"/>
  <c r="D45" i="3" s="1"/>
  <c r="B44" i="3"/>
  <c r="C44" i="3" s="1"/>
  <c r="D44" i="3" s="1"/>
  <c r="B43" i="3"/>
  <c r="C43" i="3" s="1"/>
  <c r="D43" i="3" s="1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27" i="3"/>
  <c r="G27" i="3"/>
  <c r="F27" i="3"/>
  <c r="E27" i="3"/>
  <c r="D27" i="3"/>
  <c r="Y26" i="3"/>
  <c r="G26" i="3"/>
  <c r="F26" i="3"/>
  <c r="E26" i="3"/>
  <c r="D26" i="3"/>
  <c r="Y25" i="3"/>
  <c r="G25" i="3"/>
  <c r="F25" i="3"/>
  <c r="E25" i="3"/>
  <c r="D25" i="3"/>
  <c r="Y24" i="3"/>
  <c r="G24" i="3"/>
  <c r="F24" i="3"/>
  <c r="E24" i="3"/>
  <c r="D24" i="3"/>
  <c r="Y23" i="3"/>
  <c r="G23" i="3"/>
  <c r="F23" i="3"/>
  <c r="E23" i="3"/>
  <c r="D23" i="3"/>
  <c r="Y22" i="3"/>
  <c r="G22" i="3"/>
  <c r="F22" i="3"/>
  <c r="E22" i="3"/>
  <c r="D22" i="3"/>
  <c r="Y21" i="3"/>
  <c r="G21" i="3"/>
  <c r="G32" i="3" s="1"/>
  <c r="F21" i="3"/>
  <c r="F32" i="3" s="1"/>
  <c r="E21" i="3"/>
  <c r="E32" i="3" s="1"/>
  <c r="D21" i="3"/>
  <c r="D32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X11" i="3"/>
  <c r="G11" i="3"/>
  <c r="B42" i="3" s="1"/>
  <c r="D42" i="3" s="1"/>
  <c r="F11" i="3"/>
  <c r="E11" i="3"/>
  <c r="C42" i="3" s="1"/>
  <c r="D11" i="3"/>
  <c r="X10" i="3"/>
  <c r="G10" i="3"/>
  <c r="F10" i="3"/>
  <c r="B41" i="3" s="1"/>
  <c r="D41" i="3" s="1"/>
  <c r="E10" i="3"/>
  <c r="C41" i="3" s="1"/>
  <c r="D10" i="3"/>
  <c r="X9" i="3"/>
  <c r="G9" i="3"/>
  <c r="F9" i="3"/>
  <c r="B40" i="3" s="1"/>
  <c r="D40" i="3" s="1"/>
  <c r="E9" i="3"/>
  <c r="C40" i="3" s="1"/>
  <c r="D9" i="3"/>
  <c r="X8" i="3"/>
  <c r="G8" i="3"/>
  <c r="F8" i="3"/>
  <c r="B39" i="3" s="1"/>
  <c r="D39" i="3" s="1"/>
  <c r="E8" i="3"/>
  <c r="C39" i="3" s="1"/>
  <c r="D8" i="3"/>
  <c r="X7" i="3"/>
  <c r="G7" i="3"/>
  <c r="F7" i="3"/>
  <c r="B38" i="3" s="1"/>
  <c r="D38" i="3" s="1"/>
  <c r="E7" i="3"/>
  <c r="C38" i="3" s="1"/>
  <c r="D7" i="3"/>
  <c r="X6" i="3"/>
  <c r="G6" i="3"/>
  <c r="F6" i="3"/>
  <c r="B37" i="3" s="1"/>
  <c r="D37" i="3" s="1"/>
  <c r="E6" i="3"/>
  <c r="C37" i="3" s="1"/>
  <c r="D6" i="3"/>
  <c r="X5" i="3"/>
  <c r="G5" i="3"/>
  <c r="G16" i="3" s="1"/>
  <c r="F5" i="3"/>
  <c r="E5" i="3"/>
  <c r="D5" i="3"/>
  <c r="D16" i="3" s="1"/>
  <c r="I3" i="3"/>
  <c r="B60" i="2"/>
  <c r="C59" i="2"/>
  <c r="C58" i="2"/>
  <c r="C60" i="2" s="1"/>
  <c r="B53" i="2"/>
  <c r="C52" i="2"/>
  <c r="C51" i="2"/>
  <c r="C53" i="2" s="1"/>
  <c r="C62" i="2" s="1"/>
  <c r="B46" i="2"/>
  <c r="C46" i="2" s="1"/>
  <c r="D46" i="2" s="1"/>
  <c r="B45" i="2"/>
  <c r="C45" i="2" s="1"/>
  <c r="D45" i="2" s="1"/>
  <c r="B44" i="2"/>
  <c r="C44" i="2" s="1"/>
  <c r="D44" i="2" s="1"/>
  <c r="B43" i="2"/>
  <c r="C43" i="2" s="1"/>
  <c r="D4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Y27" i="2"/>
  <c r="G27" i="2"/>
  <c r="F27" i="2"/>
  <c r="E27" i="2"/>
  <c r="D27" i="2"/>
  <c r="Y26" i="2"/>
  <c r="G26" i="2"/>
  <c r="F26" i="2"/>
  <c r="E26" i="2"/>
  <c r="D26" i="2"/>
  <c r="Y25" i="2"/>
  <c r="G25" i="2"/>
  <c r="F25" i="2"/>
  <c r="E25" i="2"/>
  <c r="D25" i="2"/>
  <c r="Y24" i="2"/>
  <c r="G24" i="2"/>
  <c r="F24" i="2"/>
  <c r="E24" i="2"/>
  <c r="D24" i="2"/>
  <c r="Y23" i="2"/>
  <c r="G23" i="2"/>
  <c r="F23" i="2"/>
  <c r="E23" i="2"/>
  <c r="D23" i="2"/>
  <c r="Y22" i="2"/>
  <c r="G22" i="2"/>
  <c r="F22" i="2"/>
  <c r="E22" i="2"/>
  <c r="D22" i="2"/>
  <c r="Y21" i="2"/>
  <c r="G21" i="2"/>
  <c r="G32" i="2" s="1"/>
  <c r="F21" i="2"/>
  <c r="F32" i="2" s="1"/>
  <c r="E21" i="2"/>
  <c r="E32" i="2" s="1"/>
  <c r="D21" i="2"/>
  <c r="D32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X11" i="2"/>
  <c r="G11" i="2"/>
  <c r="B42" i="2" s="1"/>
  <c r="D42" i="2" s="1"/>
  <c r="F11" i="2"/>
  <c r="E11" i="2"/>
  <c r="C42" i="2" s="1"/>
  <c r="D11" i="2"/>
  <c r="X10" i="2"/>
  <c r="G10" i="2"/>
  <c r="F10" i="2"/>
  <c r="B41" i="2" s="1"/>
  <c r="D41" i="2" s="1"/>
  <c r="E10" i="2"/>
  <c r="C41" i="2" s="1"/>
  <c r="D10" i="2"/>
  <c r="X9" i="2"/>
  <c r="G9" i="2"/>
  <c r="F9" i="2"/>
  <c r="B40" i="2" s="1"/>
  <c r="D40" i="2" s="1"/>
  <c r="E9" i="2"/>
  <c r="C40" i="2" s="1"/>
  <c r="D9" i="2"/>
  <c r="X8" i="2"/>
  <c r="G8" i="2"/>
  <c r="F8" i="2"/>
  <c r="B39" i="2" s="1"/>
  <c r="D39" i="2" s="1"/>
  <c r="E8" i="2"/>
  <c r="C39" i="2" s="1"/>
  <c r="D8" i="2"/>
  <c r="X7" i="2"/>
  <c r="G7" i="2"/>
  <c r="F7" i="2"/>
  <c r="B38" i="2" s="1"/>
  <c r="D38" i="2" s="1"/>
  <c r="E7" i="2"/>
  <c r="C38" i="2" s="1"/>
  <c r="D7" i="2"/>
  <c r="X6" i="2"/>
  <c r="G6" i="2"/>
  <c r="F6" i="2"/>
  <c r="B37" i="2" s="1"/>
  <c r="D37" i="2" s="1"/>
  <c r="E6" i="2"/>
  <c r="C37" i="2" s="1"/>
  <c r="D6" i="2"/>
  <c r="X5" i="2"/>
  <c r="G5" i="2"/>
  <c r="G16" i="2" s="1"/>
  <c r="F5" i="2"/>
  <c r="E5" i="2"/>
  <c r="D5" i="2"/>
  <c r="D16" i="2" s="1"/>
  <c r="I3" i="2"/>
  <c r="B60" i="1"/>
  <c r="C59" i="1"/>
  <c r="C58" i="1"/>
  <c r="C60" i="1" s="1"/>
  <c r="B53" i="1"/>
  <c r="C52" i="1"/>
  <c r="C51" i="1"/>
  <c r="C53" i="1" s="1"/>
  <c r="C62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Y27" i="1"/>
  <c r="G27" i="1"/>
  <c r="F27" i="1"/>
  <c r="E27" i="1"/>
  <c r="D27" i="1"/>
  <c r="Y26" i="1"/>
  <c r="G26" i="1"/>
  <c r="F26" i="1"/>
  <c r="E26" i="1"/>
  <c r="D26" i="1"/>
  <c r="Y25" i="1"/>
  <c r="G25" i="1"/>
  <c r="F25" i="1"/>
  <c r="E25" i="1"/>
  <c r="D25" i="1"/>
  <c r="Y24" i="1"/>
  <c r="G24" i="1"/>
  <c r="F24" i="1"/>
  <c r="E24" i="1"/>
  <c r="D24" i="1"/>
  <c r="Y23" i="1"/>
  <c r="G23" i="1"/>
  <c r="F23" i="1"/>
  <c r="E23" i="1"/>
  <c r="D23" i="1"/>
  <c r="Y22" i="1"/>
  <c r="G22" i="1"/>
  <c r="F22" i="1"/>
  <c r="E22" i="1"/>
  <c r="D22" i="1"/>
  <c r="Y21" i="1"/>
  <c r="G21" i="1"/>
  <c r="G32" i="1" s="1"/>
  <c r="F21" i="1"/>
  <c r="F32" i="1" s="1"/>
  <c r="E21" i="1"/>
  <c r="E32" i="1" s="1"/>
  <c r="D21" i="1"/>
  <c r="D32" i="1" s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X11" i="1"/>
  <c r="G11" i="1"/>
  <c r="B42" i="1" s="1"/>
  <c r="D42" i="1" s="1"/>
  <c r="F11" i="1"/>
  <c r="E11" i="1"/>
  <c r="C42" i="1" s="1"/>
  <c r="D11" i="1"/>
  <c r="X10" i="1"/>
  <c r="G10" i="1"/>
  <c r="F10" i="1"/>
  <c r="B41" i="1" s="1"/>
  <c r="D41" i="1" s="1"/>
  <c r="E10" i="1"/>
  <c r="C41" i="1" s="1"/>
  <c r="D10" i="1"/>
  <c r="X9" i="1"/>
  <c r="G9" i="1"/>
  <c r="F9" i="1"/>
  <c r="B40" i="1" s="1"/>
  <c r="D40" i="1" s="1"/>
  <c r="E9" i="1"/>
  <c r="C40" i="1" s="1"/>
  <c r="D9" i="1"/>
  <c r="X8" i="1"/>
  <c r="G8" i="1"/>
  <c r="F8" i="1"/>
  <c r="B39" i="1" s="1"/>
  <c r="D39" i="1" s="1"/>
  <c r="E8" i="1"/>
  <c r="C39" i="1" s="1"/>
  <c r="D8" i="1"/>
  <c r="X7" i="1"/>
  <c r="G7" i="1"/>
  <c r="F7" i="1"/>
  <c r="B38" i="1" s="1"/>
  <c r="D38" i="1" s="1"/>
  <c r="E7" i="1"/>
  <c r="C38" i="1" s="1"/>
  <c r="D7" i="1"/>
  <c r="G6" i="1"/>
  <c r="F6" i="1"/>
  <c r="B37" i="1" s="1"/>
  <c r="D37" i="1" s="1"/>
  <c r="E6" i="1"/>
  <c r="C37" i="1" s="1"/>
  <c r="D6" i="1"/>
  <c r="X5" i="1"/>
  <c r="G5" i="1"/>
  <c r="G16" i="1" s="1"/>
  <c r="F5" i="1"/>
  <c r="E5" i="1"/>
  <c r="D5" i="1"/>
  <c r="D16" i="1" s="1"/>
  <c r="I3" i="1"/>
  <c r="F16" i="23" l="1"/>
  <c r="F32" i="23"/>
  <c r="C39" i="23"/>
  <c r="B37" i="23"/>
  <c r="D37" i="23" s="1"/>
  <c r="B41" i="23"/>
  <c r="D41" i="23" s="1"/>
  <c r="C41" i="23"/>
  <c r="C38" i="23"/>
  <c r="B38" i="23"/>
  <c r="D38" i="23" s="1"/>
  <c r="B40" i="23"/>
  <c r="D40" i="23" s="1"/>
  <c r="C59" i="23"/>
  <c r="C61" i="23" s="1"/>
  <c r="B39" i="23"/>
  <c r="D39" i="23" s="1"/>
  <c r="D32" i="23"/>
  <c r="D16" i="23"/>
  <c r="E32" i="23"/>
  <c r="G16" i="23"/>
  <c r="C37" i="23"/>
  <c r="C40" i="23"/>
  <c r="G32" i="23"/>
  <c r="I4" i="23"/>
  <c r="J3" i="23"/>
  <c r="C36" i="23"/>
  <c r="E16" i="23"/>
  <c r="B36" i="23"/>
  <c r="D36" i="23" s="1"/>
  <c r="I4" i="22"/>
  <c r="J3" i="22"/>
  <c r="C34" i="22"/>
  <c r="E15" i="22"/>
  <c r="B34" i="22"/>
  <c r="D34" i="22" s="1"/>
  <c r="F15" i="22"/>
  <c r="I4" i="21"/>
  <c r="J3" i="21"/>
  <c r="C34" i="21"/>
  <c r="E15" i="21"/>
  <c r="B34" i="21"/>
  <c r="D34" i="21" s="1"/>
  <c r="F15" i="21"/>
  <c r="I4" i="20"/>
  <c r="J3" i="20"/>
  <c r="C34" i="20"/>
  <c r="E15" i="20"/>
  <c r="B34" i="20"/>
  <c r="D34" i="20" s="1"/>
  <c r="F15" i="20"/>
  <c r="I4" i="19"/>
  <c r="J3" i="19"/>
  <c r="C34" i="19"/>
  <c r="E15" i="19"/>
  <c r="B34" i="19"/>
  <c r="D34" i="19" s="1"/>
  <c r="F15" i="19"/>
  <c r="I4" i="18"/>
  <c r="J3" i="18"/>
  <c r="C34" i="18"/>
  <c r="E15" i="18"/>
  <c r="B34" i="18"/>
  <c r="D34" i="18" s="1"/>
  <c r="F15" i="18"/>
  <c r="I4" i="17"/>
  <c r="J3" i="17"/>
  <c r="C34" i="17"/>
  <c r="E15" i="17"/>
  <c r="B34" i="17"/>
  <c r="D34" i="17" s="1"/>
  <c r="F15" i="17"/>
  <c r="I4" i="16"/>
  <c r="J3" i="16"/>
  <c r="C34" i="16"/>
  <c r="E15" i="16"/>
  <c r="B34" i="16"/>
  <c r="D34" i="16" s="1"/>
  <c r="F15" i="16"/>
  <c r="I4" i="15"/>
  <c r="J3" i="15"/>
  <c r="C34" i="15"/>
  <c r="E15" i="15"/>
  <c r="B34" i="15"/>
  <c r="D34" i="15" s="1"/>
  <c r="F15" i="15"/>
  <c r="I4" i="14"/>
  <c r="J3" i="14"/>
  <c r="C34" i="14"/>
  <c r="E15" i="14"/>
  <c r="B34" i="14"/>
  <c r="D34" i="14" s="1"/>
  <c r="F15" i="14"/>
  <c r="I4" i="13"/>
  <c r="J3" i="13"/>
  <c r="C34" i="13"/>
  <c r="E15" i="13"/>
  <c r="B34" i="13"/>
  <c r="D34" i="13" s="1"/>
  <c r="F15" i="13"/>
  <c r="I4" i="1"/>
  <c r="J3" i="1"/>
  <c r="C36" i="1"/>
  <c r="E16" i="1"/>
  <c r="B36" i="1"/>
  <c r="D36" i="1" s="1"/>
  <c r="F16" i="1"/>
  <c r="I4" i="2"/>
  <c r="J3" i="2"/>
  <c r="C36" i="2"/>
  <c r="E16" i="2"/>
  <c r="B36" i="2"/>
  <c r="D36" i="2" s="1"/>
  <c r="F16" i="2"/>
  <c r="I4" i="3"/>
  <c r="J3" i="3"/>
  <c r="C36" i="3"/>
  <c r="E16" i="3"/>
  <c r="B36" i="3"/>
  <c r="D36" i="3" s="1"/>
  <c r="F16" i="3"/>
  <c r="I4" i="4"/>
  <c r="J3" i="4"/>
  <c r="C36" i="4"/>
  <c r="E16" i="4"/>
  <c r="B36" i="4"/>
  <c r="D36" i="4" s="1"/>
  <c r="F16" i="4"/>
  <c r="I4" i="5"/>
  <c r="J3" i="5"/>
  <c r="C36" i="5"/>
  <c r="E16" i="5"/>
  <c r="B36" i="5"/>
  <c r="D36" i="5" s="1"/>
  <c r="F16" i="5"/>
  <c r="I4" i="6"/>
  <c r="J3" i="6"/>
  <c r="C36" i="6"/>
  <c r="E16" i="6"/>
  <c r="B36" i="6"/>
  <c r="D36" i="6" s="1"/>
  <c r="F16" i="6"/>
  <c r="I4" i="7"/>
  <c r="J3" i="7"/>
  <c r="C36" i="7"/>
  <c r="E16" i="7"/>
  <c r="B36" i="7"/>
  <c r="D36" i="7" s="1"/>
  <c r="F16" i="7"/>
  <c r="I4" i="8"/>
  <c r="J3" i="8"/>
  <c r="C36" i="8"/>
  <c r="E16" i="8"/>
  <c r="B36" i="8"/>
  <c r="D36" i="8" s="1"/>
  <c r="F16" i="8"/>
  <c r="I4" i="9"/>
  <c r="J3" i="9"/>
  <c r="C36" i="9"/>
  <c r="E16" i="9"/>
  <c r="B36" i="9"/>
  <c r="D36" i="9" s="1"/>
  <c r="F16" i="9"/>
  <c r="I4" i="10"/>
  <c r="J3" i="10"/>
  <c r="C36" i="10"/>
  <c r="E16" i="10"/>
  <c r="B36" i="10"/>
  <c r="D36" i="10" s="1"/>
  <c r="F16" i="10"/>
  <c r="I4" i="11"/>
  <c r="J3" i="11"/>
  <c r="C36" i="11"/>
  <c r="E16" i="11"/>
  <c r="B36" i="11"/>
  <c r="D36" i="11" s="1"/>
  <c r="F16" i="11"/>
  <c r="I4" i="12"/>
  <c r="J3" i="12"/>
  <c r="B36" i="12"/>
  <c r="D36" i="12" s="1"/>
  <c r="F16" i="12"/>
  <c r="J4" i="23" l="1"/>
  <c r="K3" i="23"/>
  <c r="J4" i="22"/>
  <c r="K3" i="22"/>
  <c r="J4" i="21"/>
  <c r="K3" i="21"/>
  <c r="J4" i="20"/>
  <c r="K3" i="20"/>
  <c r="J4" i="19"/>
  <c r="K3" i="19"/>
  <c r="J4" i="18"/>
  <c r="K3" i="18"/>
  <c r="J4" i="17"/>
  <c r="K3" i="17"/>
  <c r="J4" i="16"/>
  <c r="K3" i="16"/>
  <c r="J4" i="15"/>
  <c r="K3" i="15"/>
  <c r="J4" i="14"/>
  <c r="K3" i="14"/>
  <c r="J4" i="13"/>
  <c r="K3" i="13"/>
  <c r="J4" i="12"/>
  <c r="K3" i="12"/>
  <c r="J4" i="11"/>
  <c r="K3" i="11"/>
  <c r="J4" i="10"/>
  <c r="K3" i="10"/>
  <c r="J4" i="9"/>
  <c r="K3" i="9"/>
  <c r="J4" i="8"/>
  <c r="K3" i="8"/>
  <c r="J4" i="7"/>
  <c r="K3" i="7"/>
  <c r="J4" i="6"/>
  <c r="K3" i="6"/>
  <c r="J4" i="5"/>
  <c r="K3" i="5"/>
  <c r="J4" i="4"/>
  <c r="K3" i="4"/>
  <c r="J4" i="3"/>
  <c r="K3" i="3"/>
  <c r="J4" i="2"/>
  <c r="K3" i="2"/>
  <c r="J4" i="1"/>
  <c r="K3" i="1"/>
  <c r="K4" i="23" l="1"/>
  <c r="L3" i="23"/>
  <c r="K4" i="22"/>
  <c r="L3" i="22"/>
  <c r="K4" i="21"/>
  <c r="L3" i="21"/>
  <c r="K4" i="20"/>
  <c r="L3" i="20"/>
  <c r="K4" i="19"/>
  <c r="L3" i="19"/>
  <c r="K4" i="18"/>
  <c r="L3" i="18"/>
  <c r="K4" i="17"/>
  <c r="L3" i="17"/>
  <c r="K4" i="16"/>
  <c r="L3" i="16"/>
  <c r="K4" i="15"/>
  <c r="L3" i="15"/>
  <c r="K4" i="14"/>
  <c r="L3" i="14"/>
  <c r="K4" i="13"/>
  <c r="L3" i="13"/>
  <c r="K4" i="1"/>
  <c r="L3" i="1"/>
  <c r="K4" i="2"/>
  <c r="L3" i="2"/>
  <c r="K4" i="3"/>
  <c r="L3" i="3"/>
  <c r="K4" i="4"/>
  <c r="L3" i="4"/>
  <c r="K4" i="5"/>
  <c r="L3" i="5"/>
  <c r="K4" i="6"/>
  <c r="L3" i="6"/>
  <c r="K4" i="7"/>
  <c r="L3" i="7"/>
  <c r="K4" i="8"/>
  <c r="L3" i="8"/>
  <c r="K4" i="9"/>
  <c r="L3" i="9"/>
  <c r="K4" i="10"/>
  <c r="L3" i="10"/>
  <c r="K4" i="11"/>
  <c r="L3" i="11"/>
  <c r="K4" i="12"/>
  <c r="L3" i="12"/>
  <c r="L4" i="23" l="1"/>
  <c r="M3" i="23"/>
  <c r="L4" i="22"/>
  <c r="M3" i="22"/>
  <c r="L4" i="21"/>
  <c r="M3" i="21"/>
  <c r="L4" i="20"/>
  <c r="M3" i="20"/>
  <c r="L4" i="19"/>
  <c r="M3" i="19"/>
  <c r="L4" i="18"/>
  <c r="M3" i="18"/>
  <c r="L4" i="17"/>
  <c r="M3" i="17"/>
  <c r="L4" i="16"/>
  <c r="M3" i="16"/>
  <c r="L4" i="15"/>
  <c r="M3" i="15"/>
  <c r="L4" i="14"/>
  <c r="M3" i="14"/>
  <c r="L4" i="13"/>
  <c r="M3" i="13"/>
  <c r="L4" i="12"/>
  <c r="M3" i="12"/>
  <c r="L4" i="11"/>
  <c r="M3" i="11"/>
  <c r="L4" i="10"/>
  <c r="M3" i="10"/>
  <c r="L4" i="9"/>
  <c r="M3" i="9"/>
  <c r="L4" i="8"/>
  <c r="M3" i="8"/>
  <c r="L4" i="7"/>
  <c r="M3" i="7"/>
  <c r="L4" i="6"/>
  <c r="M3" i="6"/>
  <c r="L4" i="5"/>
  <c r="M3" i="5"/>
  <c r="L4" i="4"/>
  <c r="M3" i="4"/>
  <c r="L4" i="3"/>
  <c r="M3" i="3"/>
  <c r="L4" i="2"/>
  <c r="M3" i="2"/>
  <c r="L4" i="1"/>
  <c r="M3" i="1"/>
  <c r="M4" i="23" l="1"/>
  <c r="N3" i="23"/>
  <c r="M4" i="22"/>
  <c r="N3" i="22"/>
  <c r="M4" i="21"/>
  <c r="N3" i="21"/>
  <c r="M4" i="20"/>
  <c r="N3" i="20"/>
  <c r="M4" i="19"/>
  <c r="N3" i="19"/>
  <c r="M4" i="18"/>
  <c r="N3" i="18"/>
  <c r="M4" i="17"/>
  <c r="N3" i="17"/>
  <c r="M4" i="16"/>
  <c r="N3" i="16"/>
  <c r="M4" i="15"/>
  <c r="N3" i="15"/>
  <c r="M4" i="14"/>
  <c r="N3" i="14"/>
  <c r="M4" i="13"/>
  <c r="N3" i="13"/>
  <c r="M4" i="1"/>
  <c r="N3" i="1"/>
  <c r="M4" i="2"/>
  <c r="N3" i="2"/>
  <c r="M4" i="3"/>
  <c r="N3" i="3"/>
  <c r="M4" i="4"/>
  <c r="N3" i="4"/>
  <c r="M4" i="5"/>
  <c r="N3" i="5"/>
  <c r="M4" i="6"/>
  <c r="N3" i="6"/>
  <c r="M4" i="7"/>
  <c r="N3" i="7"/>
  <c r="M4" i="8"/>
  <c r="N3" i="8"/>
  <c r="M4" i="9"/>
  <c r="N3" i="9"/>
  <c r="M4" i="10"/>
  <c r="N3" i="10"/>
  <c r="M4" i="11"/>
  <c r="N3" i="11"/>
  <c r="M4" i="12"/>
  <c r="N3" i="12"/>
  <c r="N4" i="23" l="1"/>
  <c r="O3" i="23"/>
  <c r="N4" i="22"/>
  <c r="O3" i="22"/>
  <c r="N4" i="21"/>
  <c r="O3" i="21"/>
  <c r="N4" i="20"/>
  <c r="O3" i="20"/>
  <c r="N4" i="19"/>
  <c r="O3" i="19"/>
  <c r="N4" i="18"/>
  <c r="O3" i="18"/>
  <c r="N4" i="17"/>
  <c r="O3" i="17"/>
  <c r="N4" i="16"/>
  <c r="O3" i="16"/>
  <c r="N4" i="15"/>
  <c r="O3" i="15"/>
  <c r="N4" i="14"/>
  <c r="O3" i="14"/>
  <c r="N4" i="13"/>
  <c r="O3" i="13"/>
  <c r="N4" i="12"/>
  <c r="O3" i="12"/>
  <c r="N4" i="11"/>
  <c r="O3" i="11"/>
  <c r="N4" i="10"/>
  <c r="O3" i="10"/>
  <c r="N4" i="9"/>
  <c r="O3" i="9"/>
  <c r="N4" i="8"/>
  <c r="O3" i="8"/>
  <c r="N4" i="7"/>
  <c r="O3" i="7"/>
  <c r="N4" i="6"/>
  <c r="O3" i="6"/>
  <c r="N4" i="5"/>
  <c r="O3" i="5"/>
  <c r="N4" i="4"/>
  <c r="O3" i="4"/>
  <c r="N4" i="3"/>
  <c r="O3" i="3"/>
  <c r="N4" i="2"/>
  <c r="O3" i="2"/>
  <c r="N4" i="1"/>
  <c r="O3" i="1"/>
  <c r="O4" i="23" l="1"/>
  <c r="P3" i="23"/>
  <c r="O4" i="22"/>
  <c r="P3" i="22"/>
  <c r="O4" i="21"/>
  <c r="P3" i="21"/>
  <c r="O4" i="20"/>
  <c r="P3" i="20"/>
  <c r="O4" i="19"/>
  <c r="P3" i="19"/>
  <c r="O4" i="18"/>
  <c r="P3" i="18"/>
  <c r="O4" i="17"/>
  <c r="P3" i="17"/>
  <c r="O4" i="16"/>
  <c r="P3" i="16"/>
  <c r="O4" i="15"/>
  <c r="P3" i="15"/>
  <c r="O4" i="14"/>
  <c r="P3" i="14"/>
  <c r="O4" i="13"/>
  <c r="P3" i="13"/>
  <c r="O4" i="1"/>
  <c r="P3" i="1"/>
  <c r="O4" i="2"/>
  <c r="P3" i="2"/>
  <c r="O4" i="3"/>
  <c r="P3" i="3"/>
  <c r="O4" i="4"/>
  <c r="P3" i="4"/>
  <c r="O4" i="5"/>
  <c r="P3" i="5"/>
  <c r="O4" i="6"/>
  <c r="P3" i="6"/>
  <c r="O4" i="7"/>
  <c r="P3" i="7"/>
  <c r="O4" i="8"/>
  <c r="P3" i="8"/>
  <c r="O4" i="9"/>
  <c r="P3" i="9"/>
  <c r="O4" i="10"/>
  <c r="P3" i="10"/>
  <c r="O4" i="11"/>
  <c r="P3" i="11"/>
  <c r="O4" i="12"/>
  <c r="P3" i="12"/>
  <c r="P4" i="23" l="1"/>
  <c r="Q3" i="23"/>
  <c r="P4" i="22"/>
  <c r="Q3" i="22"/>
  <c r="P4" i="21"/>
  <c r="Q3" i="21"/>
  <c r="P4" i="20"/>
  <c r="Q3" i="20"/>
  <c r="P4" i="19"/>
  <c r="Q3" i="19"/>
  <c r="P4" i="18"/>
  <c r="Q3" i="18"/>
  <c r="P4" i="17"/>
  <c r="Q3" i="17"/>
  <c r="P4" i="16"/>
  <c r="Q3" i="16"/>
  <c r="P4" i="15"/>
  <c r="Q3" i="15"/>
  <c r="P4" i="14"/>
  <c r="Q3" i="14"/>
  <c r="P4" i="13"/>
  <c r="Q3" i="13"/>
  <c r="P4" i="12"/>
  <c r="Q3" i="12"/>
  <c r="P4" i="11"/>
  <c r="Q3" i="11"/>
  <c r="P4" i="10"/>
  <c r="Q3" i="10"/>
  <c r="P4" i="9"/>
  <c r="Q3" i="9"/>
  <c r="P4" i="8"/>
  <c r="Q3" i="8"/>
  <c r="P4" i="7"/>
  <c r="Q3" i="7"/>
  <c r="P4" i="6"/>
  <c r="Q3" i="6"/>
  <c r="P4" i="5"/>
  <c r="Q3" i="5"/>
  <c r="P4" i="4"/>
  <c r="Q3" i="4"/>
  <c r="P4" i="3"/>
  <c r="Q3" i="3"/>
  <c r="P4" i="2"/>
  <c r="Q3" i="2"/>
  <c r="P4" i="1"/>
  <c r="Q3" i="1"/>
  <c r="Q4" i="23" l="1"/>
  <c r="R3" i="23"/>
  <c r="Q4" i="22"/>
  <c r="R3" i="22"/>
  <c r="Q4" i="21"/>
  <c r="R3" i="21"/>
  <c r="Q4" i="20"/>
  <c r="R3" i="20"/>
  <c r="Q4" i="19"/>
  <c r="R3" i="19"/>
  <c r="Q4" i="18"/>
  <c r="R3" i="18"/>
  <c r="Q4" i="17"/>
  <c r="R3" i="17"/>
  <c r="Q4" i="16"/>
  <c r="R3" i="16"/>
  <c r="Q4" i="15"/>
  <c r="R3" i="15"/>
  <c r="Q4" i="14"/>
  <c r="R3" i="14"/>
  <c r="Q4" i="13"/>
  <c r="R3" i="13"/>
  <c r="Q4" i="1"/>
  <c r="R3" i="1"/>
  <c r="Q4" i="2"/>
  <c r="R3" i="2"/>
  <c r="Q4" i="3"/>
  <c r="R3" i="3"/>
  <c r="Q4" i="4"/>
  <c r="R3" i="4"/>
  <c r="Q4" i="5"/>
  <c r="R3" i="5"/>
  <c r="Q4" i="6"/>
  <c r="R3" i="6"/>
  <c r="Q4" i="7"/>
  <c r="R3" i="7"/>
  <c r="Q4" i="8"/>
  <c r="R3" i="8"/>
  <c r="Q4" i="9"/>
  <c r="R3" i="9"/>
  <c r="Q4" i="10"/>
  <c r="R3" i="10"/>
  <c r="Q4" i="11"/>
  <c r="R3" i="11"/>
  <c r="Q4" i="12"/>
  <c r="R3" i="12"/>
  <c r="R4" i="23" l="1"/>
  <c r="S3" i="23"/>
  <c r="R4" i="22"/>
  <c r="S3" i="22"/>
  <c r="R4" i="21"/>
  <c r="S3" i="21"/>
  <c r="R4" i="20"/>
  <c r="S3" i="20"/>
  <c r="R4" i="19"/>
  <c r="S3" i="19"/>
  <c r="R4" i="18"/>
  <c r="S3" i="18"/>
  <c r="R4" i="17"/>
  <c r="S3" i="17"/>
  <c r="R4" i="16"/>
  <c r="S3" i="16"/>
  <c r="R4" i="15"/>
  <c r="S3" i="15"/>
  <c r="R4" i="14"/>
  <c r="S3" i="14"/>
  <c r="R4" i="13"/>
  <c r="S3" i="13"/>
  <c r="R4" i="12"/>
  <c r="S3" i="12"/>
  <c r="R4" i="11"/>
  <c r="S3" i="11"/>
  <c r="R4" i="10"/>
  <c r="S3" i="10"/>
  <c r="R4" i="9"/>
  <c r="S3" i="9"/>
  <c r="R4" i="8"/>
  <c r="S3" i="8"/>
  <c r="R4" i="7"/>
  <c r="S3" i="7"/>
  <c r="R4" i="6"/>
  <c r="S3" i="6"/>
  <c r="R4" i="5"/>
  <c r="S3" i="5"/>
  <c r="R4" i="4"/>
  <c r="S3" i="4"/>
  <c r="R4" i="3"/>
  <c r="S3" i="3"/>
  <c r="R4" i="2"/>
  <c r="S3" i="2"/>
  <c r="R4" i="1"/>
  <c r="S3" i="1"/>
  <c r="S4" i="23" l="1"/>
  <c r="T3" i="23"/>
  <c r="S4" i="22"/>
  <c r="T3" i="22"/>
  <c r="S4" i="21"/>
  <c r="T3" i="21"/>
  <c r="S4" i="20"/>
  <c r="T3" i="20"/>
  <c r="S4" i="19"/>
  <c r="T3" i="19"/>
  <c r="S4" i="18"/>
  <c r="T3" i="18"/>
  <c r="S4" i="17"/>
  <c r="T3" i="17"/>
  <c r="S4" i="16"/>
  <c r="T3" i="16"/>
  <c r="S4" i="15"/>
  <c r="T3" i="15"/>
  <c r="S4" i="14"/>
  <c r="T3" i="14"/>
  <c r="S4" i="13"/>
  <c r="T3" i="13"/>
  <c r="S4" i="1"/>
  <c r="T3" i="1"/>
  <c r="S4" i="2"/>
  <c r="T3" i="2"/>
  <c r="S4" i="3"/>
  <c r="T3" i="3"/>
  <c r="S4" i="4"/>
  <c r="T3" i="4"/>
  <c r="S4" i="5"/>
  <c r="T3" i="5"/>
  <c r="S4" i="6"/>
  <c r="T3" i="6"/>
  <c r="S4" i="7"/>
  <c r="T3" i="7"/>
  <c r="S4" i="8"/>
  <c r="T3" i="8"/>
  <c r="S4" i="9"/>
  <c r="T3" i="9"/>
  <c r="S4" i="10"/>
  <c r="T3" i="10"/>
  <c r="S4" i="11"/>
  <c r="T3" i="11"/>
  <c r="S4" i="12"/>
  <c r="T3" i="12"/>
  <c r="T4" i="23" l="1"/>
  <c r="U3" i="23"/>
  <c r="T4" i="22"/>
  <c r="U3" i="22"/>
  <c r="T4" i="21"/>
  <c r="U3" i="21"/>
  <c r="T4" i="20"/>
  <c r="U3" i="20"/>
  <c r="T4" i="19"/>
  <c r="U3" i="19"/>
  <c r="T4" i="18"/>
  <c r="U3" i="18"/>
  <c r="T4" i="17"/>
  <c r="U3" i="17"/>
  <c r="T4" i="16"/>
  <c r="U3" i="16"/>
  <c r="T4" i="15"/>
  <c r="U3" i="15"/>
  <c r="T4" i="14"/>
  <c r="U3" i="14"/>
  <c r="T4" i="13"/>
  <c r="U3" i="13"/>
  <c r="T4" i="12"/>
  <c r="U3" i="12"/>
  <c r="T4" i="11"/>
  <c r="U3" i="11"/>
  <c r="T4" i="10"/>
  <c r="U3" i="10"/>
  <c r="T4" i="9"/>
  <c r="U3" i="9"/>
  <c r="T4" i="8"/>
  <c r="U3" i="8"/>
  <c r="T4" i="7"/>
  <c r="U3" i="7"/>
  <c r="T4" i="6"/>
  <c r="U3" i="6"/>
  <c r="T4" i="5"/>
  <c r="U3" i="5"/>
  <c r="T4" i="4"/>
  <c r="U3" i="4"/>
  <c r="T4" i="3"/>
  <c r="U3" i="3"/>
  <c r="T4" i="2"/>
  <c r="U3" i="2"/>
  <c r="T4" i="1"/>
  <c r="U3" i="1"/>
  <c r="U4" i="23" l="1"/>
  <c r="V3" i="23"/>
  <c r="U4" i="22"/>
  <c r="V3" i="22"/>
  <c r="U4" i="21"/>
  <c r="V3" i="21"/>
  <c r="U4" i="20"/>
  <c r="V3" i="20"/>
  <c r="U4" i="19"/>
  <c r="V3" i="19"/>
  <c r="U4" i="18"/>
  <c r="V3" i="18"/>
  <c r="U4" i="17"/>
  <c r="V3" i="17"/>
  <c r="U4" i="16"/>
  <c r="V3" i="16"/>
  <c r="U4" i="15"/>
  <c r="V3" i="15"/>
  <c r="U4" i="14"/>
  <c r="V3" i="14"/>
  <c r="U4" i="13"/>
  <c r="V3" i="13"/>
  <c r="U4" i="1"/>
  <c r="V3" i="1"/>
  <c r="U4" i="2"/>
  <c r="V3" i="2"/>
  <c r="U4" i="3"/>
  <c r="V3" i="3"/>
  <c r="U4" i="4"/>
  <c r="V3" i="4"/>
  <c r="U4" i="5"/>
  <c r="V3" i="5"/>
  <c r="U4" i="6"/>
  <c r="V3" i="6"/>
  <c r="U4" i="7"/>
  <c r="V3" i="7"/>
  <c r="U4" i="8"/>
  <c r="V3" i="8"/>
  <c r="U4" i="9"/>
  <c r="V3" i="9"/>
  <c r="U4" i="10"/>
  <c r="V3" i="10"/>
  <c r="U4" i="11"/>
  <c r="V3" i="11"/>
  <c r="U4" i="12"/>
  <c r="V3" i="12"/>
  <c r="V4" i="23" l="1"/>
  <c r="W3" i="23"/>
  <c r="V4" i="22"/>
  <c r="W3" i="22"/>
  <c r="V4" i="21"/>
  <c r="W3" i="21"/>
  <c r="V4" i="20"/>
  <c r="W3" i="20"/>
  <c r="V4" i="19"/>
  <c r="W3" i="19"/>
  <c r="V4" i="18"/>
  <c r="W3" i="18"/>
  <c r="V4" i="17"/>
  <c r="W3" i="17"/>
  <c r="V4" i="16"/>
  <c r="W3" i="16"/>
  <c r="V4" i="15"/>
  <c r="W3" i="15"/>
  <c r="V4" i="14"/>
  <c r="W3" i="14"/>
  <c r="V4" i="13"/>
  <c r="W3" i="13"/>
  <c r="V4" i="12"/>
  <c r="W3" i="12"/>
  <c r="V4" i="11"/>
  <c r="W3" i="11"/>
  <c r="V4" i="10"/>
  <c r="W3" i="10"/>
  <c r="V4" i="9"/>
  <c r="W3" i="9"/>
  <c r="V4" i="8"/>
  <c r="W3" i="8"/>
  <c r="V4" i="7"/>
  <c r="W3" i="7"/>
  <c r="V4" i="6"/>
  <c r="W3" i="6"/>
  <c r="V4" i="5"/>
  <c r="W3" i="5"/>
  <c r="V4" i="4"/>
  <c r="W3" i="4"/>
  <c r="V4" i="3"/>
  <c r="W3" i="3"/>
  <c r="V4" i="2"/>
  <c r="W3" i="2"/>
  <c r="V4" i="1"/>
  <c r="W3" i="1"/>
  <c r="I19" i="23" l="1"/>
  <c r="W4" i="23"/>
  <c r="Y14" i="23"/>
  <c r="X14" i="23" s="1"/>
  <c r="Y13" i="23"/>
  <c r="X13" i="23" s="1"/>
  <c r="Y12" i="23"/>
  <c r="X12" i="23" s="1"/>
  <c r="Y11" i="23"/>
  <c r="X11" i="23" s="1"/>
  <c r="I18" i="22"/>
  <c r="W4" i="22"/>
  <c r="Y14" i="22"/>
  <c r="X14" i="22" s="1"/>
  <c r="Y13" i="22"/>
  <c r="X13" i="22" s="1"/>
  <c r="Y12" i="22"/>
  <c r="X12" i="22" s="1"/>
  <c r="Y11" i="22"/>
  <c r="X11" i="22" s="1"/>
  <c r="I18" i="21"/>
  <c r="W4" i="21"/>
  <c r="Y14" i="21"/>
  <c r="X14" i="21" s="1"/>
  <c r="Y13" i="21"/>
  <c r="X13" i="21" s="1"/>
  <c r="Y12" i="21"/>
  <c r="X12" i="21" s="1"/>
  <c r="Y11" i="21"/>
  <c r="X11" i="21" s="1"/>
  <c r="I18" i="20"/>
  <c r="W4" i="20"/>
  <c r="Y14" i="20"/>
  <c r="X14" i="20" s="1"/>
  <c r="Y13" i="20"/>
  <c r="X13" i="20" s="1"/>
  <c r="Y12" i="20"/>
  <c r="X12" i="20" s="1"/>
  <c r="Y11" i="20"/>
  <c r="X11" i="20" s="1"/>
  <c r="I18" i="19"/>
  <c r="W4" i="19"/>
  <c r="Y14" i="19"/>
  <c r="X14" i="19" s="1"/>
  <c r="Y13" i="19"/>
  <c r="X13" i="19" s="1"/>
  <c r="Y12" i="19"/>
  <c r="X12" i="19" s="1"/>
  <c r="Y11" i="19"/>
  <c r="X11" i="19" s="1"/>
  <c r="I18" i="18"/>
  <c r="W4" i="18"/>
  <c r="Y14" i="18"/>
  <c r="X14" i="18" s="1"/>
  <c r="Y13" i="18"/>
  <c r="X13" i="18" s="1"/>
  <c r="Y12" i="18"/>
  <c r="X12" i="18" s="1"/>
  <c r="Y11" i="18"/>
  <c r="X11" i="18" s="1"/>
  <c r="I18" i="17"/>
  <c r="W4" i="17"/>
  <c r="Y14" i="17"/>
  <c r="X14" i="17" s="1"/>
  <c r="Y13" i="17"/>
  <c r="X13" i="17" s="1"/>
  <c r="Y12" i="17"/>
  <c r="X12" i="17" s="1"/>
  <c r="Y11" i="17"/>
  <c r="X11" i="17" s="1"/>
  <c r="I18" i="16"/>
  <c r="W4" i="16"/>
  <c r="Y14" i="16"/>
  <c r="X14" i="16" s="1"/>
  <c r="Y13" i="16"/>
  <c r="X13" i="16" s="1"/>
  <c r="Y12" i="16"/>
  <c r="X12" i="16" s="1"/>
  <c r="Y11" i="16"/>
  <c r="X11" i="16" s="1"/>
  <c r="I18" i="15"/>
  <c r="W4" i="15"/>
  <c r="Y14" i="15"/>
  <c r="X14" i="15" s="1"/>
  <c r="Y13" i="15"/>
  <c r="X13" i="15" s="1"/>
  <c r="Y12" i="15"/>
  <c r="X12" i="15" s="1"/>
  <c r="Y11" i="15"/>
  <c r="X11" i="15" s="1"/>
  <c r="I18" i="14"/>
  <c r="W4" i="14"/>
  <c r="Y14" i="14"/>
  <c r="X14" i="14" s="1"/>
  <c r="Y13" i="14"/>
  <c r="X13" i="14" s="1"/>
  <c r="Y12" i="14"/>
  <c r="X12" i="14" s="1"/>
  <c r="Y11" i="14"/>
  <c r="X11" i="14" s="1"/>
  <c r="I18" i="13"/>
  <c r="W4" i="13"/>
  <c r="Y14" i="13"/>
  <c r="X14" i="13" s="1"/>
  <c r="Y13" i="13"/>
  <c r="X13" i="13" s="1"/>
  <c r="Y12" i="13"/>
  <c r="X12" i="13" s="1"/>
  <c r="Y11" i="13"/>
  <c r="X11" i="13" s="1"/>
  <c r="I19" i="1"/>
  <c r="W4" i="1"/>
  <c r="Y15" i="1"/>
  <c r="X15" i="1" s="1"/>
  <c r="Y14" i="1"/>
  <c r="X14" i="1" s="1"/>
  <c r="Y13" i="1"/>
  <c r="X13" i="1" s="1"/>
  <c r="Y12" i="1"/>
  <c r="X12" i="1" s="1"/>
  <c r="I19" i="2"/>
  <c r="W4" i="2"/>
  <c r="Y15" i="2"/>
  <c r="X15" i="2" s="1"/>
  <c r="Y14" i="2"/>
  <c r="X14" i="2" s="1"/>
  <c r="Y13" i="2"/>
  <c r="X13" i="2" s="1"/>
  <c r="Y12" i="2"/>
  <c r="X12" i="2" s="1"/>
  <c r="I19" i="3"/>
  <c r="W4" i="3"/>
  <c r="Y15" i="3"/>
  <c r="X15" i="3" s="1"/>
  <c r="Y14" i="3"/>
  <c r="X14" i="3" s="1"/>
  <c r="Y13" i="3"/>
  <c r="X13" i="3" s="1"/>
  <c r="Y12" i="3"/>
  <c r="X12" i="3" s="1"/>
  <c r="I19" i="4"/>
  <c r="W4" i="4"/>
  <c r="Y15" i="4"/>
  <c r="X15" i="4" s="1"/>
  <c r="Y14" i="4"/>
  <c r="X14" i="4" s="1"/>
  <c r="Y13" i="4"/>
  <c r="X13" i="4" s="1"/>
  <c r="Y12" i="4"/>
  <c r="X12" i="4" s="1"/>
  <c r="Y11" i="4"/>
  <c r="X11" i="4" s="1"/>
  <c r="I19" i="5"/>
  <c r="W4" i="5"/>
  <c r="Y15" i="5"/>
  <c r="X15" i="5" s="1"/>
  <c r="Y14" i="5"/>
  <c r="X14" i="5" s="1"/>
  <c r="Y13" i="5"/>
  <c r="X13" i="5" s="1"/>
  <c r="Y12" i="5"/>
  <c r="X12" i="5" s="1"/>
  <c r="Y11" i="5"/>
  <c r="X11" i="5" s="1"/>
  <c r="I19" i="6"/>
  <c r="W4" i="6"/>
  <c r="Y15" i="6"/>
  <c r="X15" i="6" s="1"/>
  <c r="Y14" i="6"/>
  <c r="X14" i="6" s="1"/>
  <c r="Y13" i="6"/>
  <c r="X13" i="6" s="1"/>
  <c r="Y12" i="6"/>
  <c r="X12" i="6" s="1"/>
  <c r="Y11" i="6"/>
  <c r="X11" i="6" s="1"/>
  <c r="I19" i="7"/>
  <c r="W4" i="7"/>
  <c r="Y15" i="7"/>
  <c r="X15" i="7" s="1"/>
  <c r="Y14" i="7"/>
  <c r="X14" i="7" s="1"/>
  <c r="Y13" i="7"/>
  <c r="X13" i="7" s="1"/>
  <c r="Y12" i="7"/>
  <c r="X12" i="7" s="1"/>
  <c r="Y11" i="7"/>
  <c r="X11" i="7" s="1"/>
  <c r="I19" i="8"/>
  <c r="W4" i="8"/>
  <c r="Y15" i="8"/>
  <c r="X15" i="8" s="1"/>
  <c r="Y14" i="8"/>
  <c r="X14" i="8" s="1"/>
  <c r="Y13" i="8"/>
  <c r="X13" i="8" s="1"/>
  <c r="Y12" i="8"/>
  <c r="X12" i="8" s="1"/>
  <c r="Y11" i="8"/>
  <c r="X11" i="8" s="1"/>
  <c r="I19" i="9"/>
  <c r="W4" i="9"/>
  <c r="Y15" i="9"/>
  <c r="X15" i="9" s="1"/>
  <c r="Y14" i="9"/>
  <c r="X14" i="9" s="1"/>
  <c r="Y13" i="9"/>
  <c r="X13" i="9" s="1"/>
  <c r="Y12" i="9"/>
  <c r="X12" i="9" s="1"/>
  <c r="Y11" i="9"/>
  <c r="X11" i="9" s="1"/>
  <c r="I19" i="10"/>
  <c r="W4" i="10"/>
  <c r="Y15" i="10"/>
  <c r="X15" i="10" s="1"/>
  <c r="Y14" i="10"/>
  <c r="X14" i="10" s="1"/>
  <c r="Y13" i="10"/>
  <c r="X13" i="10" s="1"/>
  <c r="Y12" i="10"/>
  <c r="X12" i="10" s="1"/>
  <c r="Y11" i="10"/>
  <c r="X11" i="10" s="1"/>
  <c r="I19" i="11"/>
  <c r="W4" i="11"/>
  <c r="Y15" i="11"/>
  <c r="X15" i="11" s="1"/>
  <c r="Y14" i="11"/>
  <c r="X14" i="11" s="1"/>
  <c r="Y13" i="11"/>
  <c r="X13" i="11" s="1"/>
  <c r="Y12" i="11"/>
  <c r="X12" i="11" s="1"/>
  <c r="Y11" i="11"/>
  <c r="X11" i="11" s="1"/>
  <c r="I19" i="12"/>
  <c r="W4" i="12"/>
  <c r="B51" i="12"/>
  <c r="Y15" i="12"/>
  <c r="X15" i="12" s="1"/>
  <c r="Y14" i="12"/>
  <c r="X14" i="12" s="1"/>
  <c r="Y13" i="12"/>
  <c r="X13" i="12" s="1"/>
  <c r="Y12" i="12"/>
  <c r="X12" i="12" s="1"/>
  <c r="Y11" i="12"/>
  <c r="Y10" i="12"/>
  <c r="Y9" i="12"/>
  <c r="Y8" i="12"/>
  <c r="Y7" i="12"/>
  <c r="E7" i="12" s="1"/>
  <c r="Y6" i="12"/>
  <c r="Y5" i="12"/>
  <c r="I20" i="23" l="1"/>
  <c r="J19" i="23"/>
  <c r="I19" i="22"/>
  <c r="J18" i="22"/>
  <c r="I19" i="21"/>
  <c r="J18" i="21"/>
  <c r="I19" i="20"/>
  <c r="J18" i="20"/>
  <c r="I19" i="19"/>
  <c r="J18" i="19"/>
  <c r="I19" i="18"/>
  <c r="J18" i="18"/>
  <c r="I19" i="17"/>
  <c r="J18" i="17"/>
  <c r="I19" i="16"/>
  <c r="J18" i="16"/>
  <c r="I19" i="15"/>
  <c r="J18" i="15"/>
  <c r="I19" i="14"/>
  <c r="J18" i="14"/>
  <c r="I19" i="13"/>
  <c r="J18" i="13"/>
  <c r="X5" i="12"/>
  <c r="E5" i="12"/>
  <c r="X6" i="12"/>
  <c r="E6" i="12"/>
  <c r="D7" i="12"/>
  <c r="X8" i="12"/>
  <c r="E8" i="12"/>
  <c r="X9" i="12"/>
  <c r="E9" i="12"/>
  <c r="X10" i="12"/>
  <c r="E10" i="12"/>
  <c r="X11" i="12"/>
  <c r="E11" i="12"/>
  <c r="B53" i="12"/>
  <c r="C51" i="12"/>
  <c r="C53" i="12" s="1"/>
  <c r="I20" i="12"/>
  <c r="J19" i="12"/>
  <c r="I20" i="11"/>
  <c r="J19" i="11"/>
  <c r="I20" i="10"/>
  <c r="J19" i="10"/>
  <c r="I20" i="9"/>
  <c r="J19" i="9"/>
  <c r="I20" i="8"/>
  <c r="J19" i="8"/>
  <c r="I20" i="7"/>
  <c r="J19" i="7"/>
  <c r="I20" i="6"/>
  <c r="J19" i="6"/>
  <c r="I20" i="5"/>
  <c r="J19" i="5"/>
  <c r="I20" i="4"/>
  <c r="J19" i="4"/>
  <c r="I20" i="3"/>
  <c r="J19" i="3"/>
  <c r="I20" i="2"/>
  <c r="J19" i="2"/>
  <c r="I20" i="1"/>
  <c r="J19" i="1"/>
  <c r="J20" i="23" l="1"/>
  <c r="K19" i="23"/>
  <c r="J19" i="22"/>
  <c r="K18" i="22"/>
  <c r="J19" i="21"/>
  <c r="K18" i="21"/>
  <c r="J19" i="20"/>
  <c r="K18" i="20"/>
  <c r="J19" i="19"/>
  <c r="K18" i="19"/>
  <c r="J19" i="18"/>
  <c r="K18" i="18"/>
  <c r="J19" i="17"/>
  <c r="K18" i="17"/>
  <c r="J19" i="16"/>
  <c r="K18" i="16"/>
  <c r="J19" i="15"/>
  <c r="K18" i="15"/>
  <c r="J19" i="14"/>
  <c r="K18" i="14"/>
  <c r="J19" i="13"/>
  <c r="K18" i="13"/>
  <c r="J20" i="1"/>
  <c r="K19" i="1"/>
  <c r="J20" i="2"/>
  <c r="K19" i="2"/>
  <c r="J20" i="3"/>
  <c r="K19" i="3"/>
  <c r="J20" i="4"/>
  <c r="K19" i="4"/>
  <c r="J20" i="5"/>
  <c r="K19" i="5"/>
  <c r="J20" i="6"/>
  <c r="K19" i="6"/>
  <c r="J20" i="7"/>
  <c r="K19" i="7"/>
  <c r="J20" i="8"/>
  <c r="K19" i="8"/>
  <c r="J20" i="9"/>
  <c r="K19" i="9"/>
  <c r="J20" i="10"/>
  <c r="K19" i="10"/>
  <c r="J20" i="11"/>
  <c r="K19" i="11"/>
  <c r="J20" i="12"/>
  <c r="K19" i="12"/>
  <c r="D11" i="12"/>
  <c r="D10" i="12"/>
  <c r="D9" i="12"/>
  <c r="D8" i="12"/>
  <c r="D6" i="12"/>
  <c r="E16" i="12"/>
  <c r="D5" i="12"/>
  <c r="D16" i="12" s="1"/>
  <c r="K20" i="23" l="1"/>
  <c r="L19" i="23"/>
  <c r="K19" i="22"/>
  <c r="L18" i="22"/>
  <c r="K19" i="21"/>
  <c r="L18" i="21"/>
  <c r="K19" i="20"/>
  <c r="L18" i="20"/>
  <c r="K19" i="19"/>
  <c r="L18" i="19"/>
  <c r="K19" i="18"/>
  <c r="L18" i="18"/>
  <c r="K19" i="17"/>
  <c r="L18" i="17"/>
  <c r="K19" i="16"/>
  <c r="L18" i="16"/>
  <c r="K19" i="15"/>
  <c r="L18" i="15"/>
  <c r="K19" i="14"/>
  <c r="L18" i="14"/>
  <c r="K19" i="13"/>
  <c r="L18" i="13"/>
  <c r="K20" i="12"/>
  <c r="L19" i="12"/>
  <c r="K20" i="11"/>
  <c r="L19" i="11"/>
  <c r="K20" i="10"/>
  <c r="L19" i="10"/>
  <c r="K20" i="9"/>
  <c r="L19" i="9"/>
  <c r="K20" i="8"/>
  <c r="L19" i="8"/>
  <c r="K20" i="7"/>
  <c r="L19" i="7"/>
  <c r="K20" i="6"/>
  <c r="L19" i="6"/>
  <c r="K20" i="5"/>
  <c r="L19" i="5"/>
  <c r="K20" i="4"/>
  <c r="L19" i="4"/>
  <c r="K20" i="3"/>
  <c r="L19" i="3"/>
  <c r="K20" i="2"/>
  <c r="L19" i="2"/>
  <c r="K20" i="1"/>
  <c r="L19" i="1"/>
  <c r="L20" i="23" l="1"/>
  <c r="M19" i="23"/>
  <c r="L19" i="22"/>
  <c r="M18" i="22"/>
  <c r="L19" i="21"/>
  <c r="M18" i="21"/>
  <c r="L19" i="20"/>
  <c r="M18" i="20"/>
  <c r="L19" i="19"/>
  <c r="M18" i="19"/>
  <c r="L19" i="18"/>
  <c r="M18" i="18"/>
  <c r="L19" i="17"/>
  <c r="M18" i="17"/>
  <c r="L19" i="16"/>
  <c r="M18" i="16"/>
  <c r="L19" i="15"/>
  <c r="M18" i="15"/>
  <c r="L19" i="14"/>
  <c r="M18" i="14"/>
  <c r="L19" i="13"/>
  <c r="M18" i="13"/>
  <c r="L20" i="1"/>
  <c r="M19" i="1"/>
  <c r="L20" i="2"/>
  <c r="M19" i="2"/>
  <c r="L20" i="3"/>
  <c r="M19" i="3"/>
  <c r="L20" i="4"/>
  <c r="M19" i="4"/>
  <c r="L20" i="5"/>
  <c r="M19" i="5"/>
  <c r="L20" i="6"/>
  <c r="M19" i="6"/>
  <c r="L20" i="7"/>
  <c r="M19" i="7"/>
  <c r="L20" i="8"/>
  <c r="M19" i="8"/>
  <c r="L20" i="9"/>
  <c r="M19" i="9"/>
  <c r="L20" i="10"/>
  <c r="M19" i="10"/>
  <c r="L20" i="11"/>
  <c r="M19" i="11"/>
  <c r="L20" i="12"/>
  <c r="M19" i="12"/>
  <c r="M20" i="23" l="1"/>
  <c r="N19" i="23"/>
  <c r="M19" i="22"/>
  <c r="N18" i="22"/>
  <c r="M19" i="21"/>
  <c r="N18" i="21"/>
  <c r="M19" i="20"/>
  <c r="N18" i="20"/>
  <c r="M19" i="19"/>
  <c r="N18" i="19"/>
  <c r="M19" i="18"/>
  <c r="N18" i="18"/>
  <c r="M19" i="17"/>
  <c r="N18" i="17"/>
  <c r="M19" i="16"/>
  <c r="N18" i="16"/>
  <c r="M19" i="15"/>
  <c r="N18" i="15"/>
  <c r="M19" i="14"/>
  <c r="N18" i="14"/>
  <c r="M19" i="13"/>
  <c r="N18" i="13"/>
  <c r="M20" i="12"/>
  <c r="N19" i="12"/>
  <c r="M20" i="11"/>
  <c r="N19" i="11"/>
  <c r="M20" i="10"/>
  <c r="N19" i="10"/>
  <c r="M20" i="9"/>
  <c r="N19" i="9"/>
  <c r="M20" i="8"/>
  <c r="N19" i="8"/>
  <c r="M20" i="7"/>
  <c r="N19" i="7"/>
  <c r="M20" i="6"/>
  <c r="N19" i="6"/>
  <c r="M20" i="5"/>
  <c r="N19" i="5"/>
  <c r="M20" i="4"/>
  <c r="N19" i="4"/>
  <c r="M20" i="3"/>
  <c r="N19" i="3"/>
  <c r="M20" i="2"/>
  <c r="N19" i="2"/>
  <c r="M20" i="1"/>
  <c r="N19" i="1"/>
  <c r="N20" i="23" l="1"/>
  <c r="O19" i="23"/>
  <c r="N19" i="22"/>
  <c r="O18" i="22"/>
  <c r="N19" i="21"/>
  <c r="O18" i="21"/>
  <c r="N19" i="20"/>
  <c r="O18" i="20"/>
  <c r="N19" i="19"/>
  <c r="O18" i="19"/>
  <c r="N19" i="18"/>
  <c r="O18" i="18"/>
  <c r="N19" i="17"/>
  <c r="O18" i="17"/>
  <c r="N19" i="16"/>
  <c r="O18" i="16"/>
  <c r="N19" i="15"/>
  <c r="O18" i="15"/>
  <c r="N19" i="14"/>
  <c r="O18" i="14"/>
  <c r="N19" i="13"/>
  <c r="O18" i="13"/>
  <c r="N20" i="1"/>
  <c r="O19" i="1"/>
  <c r="N20" i="2"/>
  <c r="O19" i="2"/>
  <c r="N20" i="3"/>
  <c r="O19" i="3"/>
  <c r="N20" i="4"/>
  <c r="O19" i="4"/>
  <c r="N20" i="5"/>
  <c r="O19" i="5"/>
  <c r="N20" i="6"/>
  <c r="O19" i="6"/>
  <c r="N20" i="7"/>
  <c r="O19" i="7"/>
  <c r="N20" i="8"/>
  <c r="O19" i="8"/>
  <c r="N20" i="9"/>
  <c r="O19" i="9"/>
  <c r="N20" i="10"/>
  <c r="O19" i="10"/>
  <c r="N20" i="11"/>
  <c r="O19" i="11"/>
  <c r="N20" i="12"/>
  <c r="O19" i="12"/>
  <c r="O20" i="23" l="1"/>
  <c r="P19" i="23"/>
  <c r="O19" i="22"/>
  <c r="P18" i="22"/>
  <c r="O19" i="21"/>
  <c r="P18" i="21"/>
  <c r="O19" i="20"/>
  <c r="P18" i="20"/>
  <c r="O19" i="19"/>
  <c r="P18" i="19"/>
  <c r="O19" i="18"/>
  <c r="P18" i="18"/>
  <c r="O19" i="17"/>
  <c r="P18" i="17"/>
  <c r="O19" i="16"/>
  <c r="P18" i="16"/>
  <c r="O19" i="15"/>
  <c r="P18" i="15"/>
  <c r="O19" i="14"/>
  <c r="P18" i="14"/>
  <c r="O19" i="13"/>
  <c r="P18" i="13"/>
  <c r="O20" i="12"/>
  <c r="P19" i="12"/>
  <c r="O20" i="11"/>
  <c r="P19" i="11"/>
  <c r="O20" i="10"/>
  <c r="P19" i="10"/>
  <c r="O20" i="9"/>
  <c r="P19" i="9"/>
  <c r="O20" i="8"/>
  <c r="P19" i="8"/>
  <c r="O20" i="7"/>
  <c r="P19" i="7"/>
  <c r="O20" i="6"/>
  <c r="P19" i="6"/>
  <c r="O20" i="5"/>
  <c r="P19" i="5"/>
  <c r="O20" i="4"/>
  <c r="P19" i="4"/>
  <c r="O20" i="3"/>
  <c r="P19" i="3"/>
  <c r="O20" i="2"/>
  <c r="P19" i="2"/>
  <c r="O20" i="1"/>
  <c r="P19" i="1"/>
  <c r="P20" i="23" l="1"/>
  <c r="Q19" i="23"/>
  <c r="P19" i="22"/>
  <c r="Q18" i="22"/>
  <c r="P19" i="21"/>
  <c r="Q18" i="21"/>
  <c r="P19" i="20"/>
  <c r="Q18" i="20"/>
  <c r="P19" i="19"/>
  <c r="Q18" i="19"/>
  <c r="P19" i="18"/>
  <c r="Q18" i="18"/>
  <c r="P19" i="17"/>
  <c r="Q18" i="17"/>
  <c r="P19" i="16"/>
  <c r="Q18" i="16"/>
  <c r="P19" i="15"/>
  <c r="Q18" i="15"/>
  <c r="P19" i="14"/>
  <c r="Q18" i="14"/>
  <c r="P19" i="13"/>
  <c r="Q18" i="13"/>
  <c r="P20" i="1"/>
  <c r="Q19" i="1"/>
  <c r="P20" i="2"/>
  <c r="Q19" i="2"/>
  <c r="P20" i="3"/>
  <c r="Q19" i="3"/>
  <c r="P20" i="4"/>
  <c r="Q19" i="4"/>
  <c r="P20" i="5"/>
  <c r="Q19" i="5"/>
  <c r="P20" i="6"/>
  <c r="Q19" i="6"/>
  <c r="P20" i="7"/>
  <c r="Q19" i="7"/>
  <c r="P20" i="8"/>
  <c r="Q19" i="8"/>
  <c r="P20" i="9"/>
  <c r="Q19" i="9"/>
  <c r="P20" i="10"/>
  <c r="Q19" i="10"/>
  <c r="P20" i="11"/>
  <c r="Q19" i="11"/>
  <c r="P20" i="12"/>
  <c r="Q19" i="12"/>
  <c r="Q20" i="23" l="1"/>
  <c r="R19" i="23"/>
  <c r="Q19" i="22"/>
  <c r="R18" i="22"/>
  <c r="Q19" i="21"/>
  <c r="R18" i="21"/>
  <c r="Q19" i="20"/>
  <c r="R18" i="20"/>
  <c r="Q19" i="19"/>
  <c r="R18" i="19"/>
  <c r="Q19" i="18"/>
  <c r="R18" i="18"/>
  <c r="Q19" i="17"/>
  <c r="R18" i="17"/>
  <c r="Q19" i="16"/>
  <c r="R18" i="16"/>
  <c r="Q19" i="15"/>
  <c r="R18" i="15"/>
  <c r="Q19" i="14"/>
  <c r="R18" i="14"/>
  <c r="Q19" i="13"/>
  <c r="R18" i="13"/>
  <c r="Q20" i="12"/>
  <c r="R19" i="12"/>
  <c r="Q20" i="11"/>
  <c r="R19" i="11"/>
  <c r="Q20" i="10"/>
  <c r="R19" i="10"/>
  <c r="Q20" i="9"/>
  <c r="R19" i="9"/>
  <c r="Q20" i="8"/>
  <c r="R19" i="8"/>
  <c r="Q20" i="7"/>
  <c r="R19" i="7"/>
  <c r="Q20" i="6"/>
  <c r="R19" i="6"/>
  <c r="Q20" i="5"/>
  <c r="R19" i="5"/>
  <c r="Q20" i="4"/>
  <c r="R19" i="4"/>
  <c r="Q20" i="3"/>
  <c r="R19" i="3"/>
  <c r="Q20" i="2"/>
  <c r="R19" i="2"/>
  <c r="Q20" i="1"/>
  <c r="R19" i="1"/>
  <c r="R20" i="23" l="1"/>
  <c r="S19" i="23"/>
  <c r="R19" i="22"/>
  <c r="S18" i="22"/>
  <c r="R19" i="21"/>
  <c r="S18" i="21"/>
  <c r="R19" i="20"/>
  <c r="S18" i="20"/>
  <c r="R19" i="19"/>
  <c r="S18" i="19"/>
  <c r="R19" i="18"/>
  <c r="S18" i="18"/>
  <c r="R19" i="17"/>
  <c r="S18" i="17"/>
  <c r="R19" i="16"/>
  <c r="S18" i="16"/>
  <c r="R19" i="15"/>
  <c r="S18" i="15"/>
  <c r="R19" i="14"/>
  <c r="S18" i="14"/>
  <c r="R19" i="13"/>
  <c r="S18" i="13"/>
  <c r="R20" i="1"/>
  <c r="S19" i="1"/>
  <c r="R20" i="2"/>
  <c r="S19" i="2"/>
  <c r="R20" i="3"/>
  <c r="S19" i="3"/>
  <c r="R20" i="4"/>
  <c r="S19" i="4"/>
  <c r="R20" i="5"/>
  <c r="S19" i="5"/>
  <c r="R20" i="6"/>
  <c r="S19" i="6"/>
  <c r="R20" i="7"/>
  <c r="S19" i="7"/>
  <c r="R20" i="8"/>
  <c r="S19" i="8"/>
  <c r="R20" i="9"/>
  <c r="S19" i="9"/>
  <c r="R20" i="10"/>
  <c r="S19" i="10"/>
  <c r="R20" i="11"/>
  <c r="S19" i="11"/>
  <c r="B59" i="12"/>
  <c r="C59" i="12" s="1"/>
  <c r="R20" i="12"/>
  <c r="S19" i="12"/>
  <c r="S20" i="23" l="1"/>
  <c r="T19" i="23"/>
  <c r="S19" i="22"/>
  <c r="T18" i="22"/>
  <c r="S19" i="21"/>
  <c r="T18" i="21"/>
  <c r="S19" i="20"/>
  <c r="T18" i="20"/>
  <c r="S19" i="19"/>
  <c r="T18" i="19"/>
  <c r="S19" i="18"/>
  <c r="T18" i="18"/>
  <c r="S19" i="17"/>
  <c r="T18" i="17"/>
  <c r="S19" i="16"/>
  <c r="T18" i="16"/>
  <c r="S19" i="15"/>
  <c r="T18" i="15"/>
  <c r="S19" i="14"/>
  <c r="T18" i="14"/>
  <c r="S19" i="13"/>
  <c r="T18" i="13"/>
  <c r="S20" i="12"/>
  <c r="T19" i="12"/>
  <c r="S20" i="11"/>
  <c r="T19" i="11"/>
  <c r="S20" i="10"/>
  <c r="T19" i="10"/>
  <c r="S20" i="9"/>
  <c r="T19" i="9"/>
  <c r="S20" i="8"/>
  <c r="T19" i="8"/>
  <c r="S20" i="7"/>
  <c r="T19" i="7"/>
  <c r="S20" i="6"/>
  <c r="T19" i="6"/>
  <c r="S20" i="5"/>
  <c r="T19" i="5"/>
  <c r="S20" i="4"/>
  <c r="T19" i="4"/>
  <c r="S20" i="3"/>
  <c r="T19" i="3"/>
  <c r="S20" i="2"/>
  <c r="T19" i="2"/>
  <c r="S20" i="1"/>
  <c r="T19" i="1"/>
  <c r="T20" i="23" l="1"/>
  <c r="U19" i="23"/>
  <c r="V19" i="23" s="1"/>
  <c r="T19" i="22"/>
  <c r="U18" i="22"/>
  <c r="T19" i="21"/>
  <c r="U18" i="21"/>
  <c r="T19" i="20"/>
  <c r="U18" i="20"/>
  <c r="T19" i="19"/>
  <c r="U18" i="19"/>
  <c r="T19" i="18"/>
  <c r="U18" i="18"/>
  <c r="T19" i="17"/>
  <c r="U18" i="17"/>
  <c r="T19" i="16"/>
  <c r="U18" i="16"/>
  <c r="T19" i="15"/>
  <c r="U18" i="15"/>
  <c r="T19" i="14"/>
  <c r="U18" i="14"/>
  <c r="T19" i="13"/>
  <c r="U18" i="13"/>
  <c r="T20" i="1"/>
  <c r="U19" i="1"/>
  <c r="T20" i="2"/>
  <c r="U19" i="2"/>
  <c r="T20" i="3"/>
  <c r="U19" i="3"/>
  <c r="T20" i="4"/>
  <c r="U19" i="4"/>
  <c r="T20" i="5"/>
  <c r="U19" i="5"/>
  <c r="T20" i="6"/>
  <c r="U19" i="6"/>
  <c r="T20" i="7"/>
  <c r="U19" i="7"/>
  <c r="T20" i="8"/>
  <c r="U19" i="8"/>
  <c r="T20" i="9"/>
  <c r="U19" i="9"/>
  <c r="T20" i="10"/>
  <c r="U19" i="10"/>
  <c r="T20" i="11"/>
  <c r="U19" i="11"/>
  <c r="T20" i="12"/>
  <c r="U19" i="12"/>
  <c r="W19" i="23" l="1"/>
  <c r="W20" i="23" s="1"/>
  <c r="V20" i="23"/>
  <c r="U20" i="23"/>
  <c r="U19" i="22"/>
  <c r="U19" i="21"/>
  <c r="V18" i="21"/>
  <c r="U19" i="20"/>
  <c r="V18" i="20"/>
  <c r="U19" i="19"/>
  <c r="V18" i="19"/>
  <c r="U19" i="18"/>
  <c r="V18" i="18"/>
  <c r="U19" i="17"/>
  <c r="V18" i="17"/>
  <c r="U19" i="16"/>
  <c r="V18" i="16"/>
  <c r="U19" i="15"/>
  <c r="V18" i="15"/>
  <c r="U19" i="14"/>
  <c r="V18" i="14"/>
  <c r="U19" i="13"/>
  <c r="V18" i="13"/>
  <c r="U20" i="12"/>
  <c r="V19" i="12"/>
  <c r="U20" i="11"/>
  <c r="V19" i="11"/>
  <c r="U20" i="10"/>
  <c r="V19" i="10"/>
  <c r="U20" i="9"/>
  <c r="V19" i="9"/>
  <c r="U20" i="8"/>
  <c r="V19" i="8"/>
  <c r="U20" i="7"/>
  <c r="V19" i="7"/>
  <c r="U20" i="6"/>
  <c r="V19" i="6"/>
  <c r="U20" i="5"/>
  <c r="V19" i="5"/>
  <c r="U20" i="4"/>
  <c r="V19" i="4"/>
  <c r="U20" i="3"/>
  <c r="V19" i="3"/>
  <c r="U20" i="2"/>
  <c r="V19" i="2"/>
  <c r="V20" i="2" s="1"/>
  <c r="U20" i="1"/>
  <c r="V19" i="1"/>
  <c r="V19" i="21" l="1"/>
  <c r="W18" i="21"/>
  <c r="W19" i="21" s="1"/>
  <c r="V19" i="20"/>
  <c r="W18" i="20"/>
  <c r="V19" i="19"/>
  <c r="W18" i="19"/>
  <c r="W19" i="19" s="1"/>
  <c r="V19" i="18"/>
  <c r="W18" i="18"/>
  <c r="X18" i="18" s="1"/>
  <c r="X19" i="18" s="1"/>
  <c r="V19" i="17"/>
  <c r="W18" i="17"/>
  <c r="V19" i="16"/>
  <c r="W18" i="16"/>
  <c r="W19" i="16" s="1"/>
  <c r="V19" i="15"/>
  <c r="W18" i="15"/>
  <c r="X18" i="15" s="1"/>
  <c r="X19" i="15" s="1"/>
  <c r="V19" i="14"/>
  <c r="W18" i="14"/>
  <c r="V19" i="13"/>
  <c r="W18" i="13"/>
  <c r="V20" i="1"/>
  <c r="W19" i="1"/>
  <c r="V20" i="3"/>
  <c r="W19" i="3"/>
  <c r="V20" i="4"/>
  <c r="W19" i="4"/>
  <c r="W20" i="4" s="1"/>
  <c r="V20" i="5"/>
  <c r="W19" i="5"/>
  <c r="V20" i="6"/>
  <c r="W19" i="6"/>
  <c r="W20" i="6" s="1"/>
  <c r="V20" i="7"/>
  <c r="W19" i="7"/>
  <c r="V20" i="8"/>
  <c r="W19" i="8"/>
  <c r="V20" i="9"/>
  <c r="W19" i="9"/>
  <c r="W20" i="9" s="1"/>
  <c r="V20" i="10"/>
  <c r="W19" i="10"/>
  <c r="V20" i="11"/>
  <c r="W19" i="11"/>
  <c r="W20" i="11" s="1"/>
  <c r="V20" i="12"/>
  <c r="W19" i="12"/>
  <c r="W19" i="20" l="1"/>
  <c r="X18" i="20"/>
  <c r="X19" i="20" s="1"/>
  <c r="W19" i="18"/>
  <c r="W19" i="17"/>
  <c r="X18" i="17"/>
  <c r="X19" i="17" s="1"/>
  <c r="W19" i="15"/>
  <c r="W19" i="14"/>
  <c r="W19" i="13"/>
  <c r="X18" i="13"/>
  <c r="X19" i="13" s="1"/>
  <c r="W20" i="12"/>
  <c r="X19" i="12"/>
  <c r="W20" i="10"/>
  <c r="X19" i="10"/>
  <c r="X20" i="10" s="1"/>
  <c r="W20" i="8"/>
  <c r="X19" i="8"/>
  <c r="X20" i="8" s="1"/>
  <c r="W20" i="7"/>
  <c r="X19" i="7"/>
  <c r="X20" i="7" s="1"/>
  <c r="W20" i="5"/>
  <c r="X19" i="5"/>
  <c r="X20" i="5" s="1"/>
  <c r="W20" i="3"/>
  <c r="X19" i="3"/>
  <c r="X20" i="3" s="1"/>
  <c r="W20" i="1"/>
  <c r="X19" i="1"/>
  <c r="X20" i="1" s="1"/>
  <c r="X20" i="12" l="1"/>
  <c r="B58" i="12"/>
  <c r="Z27" i="12"/>
  <c r="Z26" i="12"/>
  <c r="E26" i="12" s="1"/>
  <c r="Z25" i="12"/>
  <c r="Z24" i="12"/>
  <c r="Z23" i="12"/>
  <c r="Z22" i="12"/>
  <c r="Z21" i="12"/>
  <c r="Y21" i="12" l="1"/>
  <c r="E21" i="12"/>
  <c r="Y22" i="12"/>
  <c r="E22" i="12"/>
  <c r="Y23" i="12"/>
  <c r="E23" i="12"/>
  <c r="Y24" i="12"/>
  <c r="E24" i="12"/>
  <c r="Y25" i="12"/>
  <c r="E25" i="12"/>
  <c r="D26" i="12"/>
  <c r="C41" i="12"/>
  <c r="Y27" i="12"/>
  <c r="E27" i="12"/>
  <c r="B60" i="12"/>
  <c r="C58" i="12"/>
  <c r="C60" i="12" s="1"/>
  <c r="C62" i="12" s="1"/>
  <c r="D27" i="12" l="1"/>
  <c r="C42" i="12"/>
  <c r="D25" i="12"/>
  <c r="C40" i="12"/>
  <c r="D24" i="12"/>
  <c r="C39" i="12"/>
  <c r="D23" i="12"/>
  <c r="C38" i="12"/>
  <c r="D22" i="12"/>
  <c r="C37" i="12"/>
  <c r="E32" i="12"/>
  <c r="D21" i="12"/>
  <c r="D32" i="12" s="1"/>
  <c r="C36" i="12"/>
</calcChain>
</file>

<file path=xl/sharedStrings.xml><?xml version="1.0" encoding="utf-8"?>
<sst xmlns="http://schemas.openxmlformats.org/spreadsheetml/2006/main" count="1906" uniqueCount="48">
  <si>
    <t>1st Fortnight</t>
  </si>
  <si>
    <t>Name</t>
  </si>
  <si>
    <t>Project</t>
  </si>
  <si>
    <t>On-Board Date</t>
  </si>
  <si>
    <t>Approved (Max)
Hours</t>
  </si>
  <si>
    <t>Actual</t>
  </si>
  <si>
    <t>Vacation</t>
  </si>
  <si>
    <t>Working Days</t>
  </si>
  <si>
    <t>Billable Hours</t>
  </si>
  <si>
    <t>Actual Hours</t>
  </si>
  <si>
    <t>Offshore Hours</t>
  </si>
  <si>
    <t>Onshore Hours</t>
  </si>
  <si>
    <t>Legend</t>
  </si>
  <si>
    <t>Tapan Kumar Panda</t>
  </si>
  <si>
    <t>Proofpoint</t>
  </si>
  <si>
    <t>Holiday</t>
  </si>
  <si>
    <t>Suresh Narayanaswamy Gowda</t>
  </si>
  <si>
    <t>Sudheer Vajrapu</t>
  </si>
  <si>
    <t>Weekend</t>
  </si>
  <si>
    <t>Prameela Rendeddula</t>
  </si>
  <si>
    <t>Akshata CA</t>
  </si>
  <si>
    <t>Manohara CM</t>
  </si>
  <si>
    <t>2nd Fortnight</t>
  </si>
  <si>
    <t>Total Actual Hours for the Month</t>
  </si>
  <si>
    <t>Max Billable Hours / Month</t>
  </si>
  <si>
    <t>Final Billable Hours for the Month</t>
  </si>
  <si>
    <t>Notes</t>
  </si>
  <si>
    <t>Days</t>
  </si>
  <si>
    <t>Hours</t>
  </si>
  <si>
    <t>No of weekdays</t>
  </si>
  <si>
    <t>Offshore Holidays</t>
  </si>
  <si>
    <t>Offshore working days</t>
  </si>
  <si>
    <t>Max Hours</t>
  </si>
  <si>
    <t>Billable hrs</t>
  </si>
  <si>
    <t>Actual hrs</t>
  </si>
  <si>
    <t>Offshore hrs</t>
  </si>
  <si>
    <t>Onshore hrs</t>
  </si>
  <si>
    <t>Kuldeep Khandelwal</t>
  </si>
  <si>
    <t>billing_rate</t>
  </si>
  <si>
    <t>WO</t>
  </si>
  <si>
    <t>Jay</t>
  </si>
  <si>
    <t>John</t>
  </si>
  <si>
    <t>Yixin Dio</t>
  </si>
  <si>
    <t>Niel</t>
  </si>
  <si>
    <t>Joe</t>
  </si>
  <si>
    <t>David</t>
  </si>
  <si>
    <t>CRYSTAL</t>
  </si>
  <si>
    <t>Kristopher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</si>
</sst>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yy"/>
    <numFmt numFmtId="165" formatCode="[$-409]mmmm\-yy"/>
    <numFmt numFmtId="166" formatCode="m/d"/>
    <numFmt numFmtId="167" formatCode="0;\-0;"/>
  </numFmts>
  <fonts count="31">
    <font>
      <sz val="10"/>
      <color rgb="FF000000"/>
      <name val="Arial"/>
      <scheme val="minor"/>
    </font>
    <font>
      <b/>
      <sz val="12"/>
      <color rgb="FF000000"/>
      <name val="Trispace"/>
    </font>
    <font>
      <b/>
      <sz val="12"/>
      <color rgb="FF993300"/>
      <name val="Trispace"/>
    </font>
    <font>
      <b/>
      <sz val="12"/>
      <color theme="1"/>
      <name val="Trispace"/>
    </font>
    <font>
      <b/>
      <sz val="10"/>
      <color theme="1"/>
      <name val="Trispace"/>
    </font>
    <font>
      <sz val="10"/>
      <color theme="1"/>
      <name val="Trispace"/>
    </font>
    <font>
      <u/>
      <sz val="11"/>
      <color rgb="FF0000FF"/>
      <name val="Trispace"/>
    </font>
    <font>
      <sz val="10"/>
      <color theme="1"/>
      <name val="Arial"/>
      <family val="2"/>
    </font>
    <font>
      <b/>
      <u/>
      <sz val="10"/>
      <color theme="1"/>
      <name val="Trispace"/>
    </font>
    <font>
      <sz val="10"/>
      <name val="Arial"/>
      <family val="2"/>
    </font>
    <font>
      <sz val="10"/>
      <color rgb="FF000000"/>
      <name val="Trispace"/>
    </font>
    <font>
      <sz val="10"/>
      <color rgb="FFFF0000"/>
      <name val="Trispace"/>
    </font>
    <font>
      <sz val="10"/>
      <color rgb="FFFF0000"/>
      <name val="Arial"/>
      <family val="2"/>
    </font>
    <font>
      <b/>
      <sz val="10"/>
      <color rgb="FF000000"/>
      <name val="Trispace"/>
    </font>
    <font>
      <sz val="10"/>
      <color rgb="FF000000"/>
      <name val="Arial"/>
      <family val="2"/>
    </font>
    <font>
      <b/>
      <sz val="10"/>
      <color rgb="FFFFFFFF"/>
      <name val="Trispace"/>
    </font>
    <font>
      <b/>
      <i/>
      <sz val="10"/>
      <color theme="1"/>
      <name val="Trispace"/>
    </font>
    <font>
      <b/>
      <sz val="12"/>
      <color rgb="FF000000"/>
      <name val="Aptos"/>
    </font>
    <font>
      <b/>
      <sz val="12"/>
      <color rgb="FF993300"/>
      <name val="Aptos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u/>
      <sz val="11"/>
      <color rgb="FF0000FF"/>
      <name val="Aptos"/>
    </font>
    <font>
      <sz val="10"/>
      <color rgb="FF000000"/>
      <name val="Aptos"/>
    </font>
    <font>
      <b/>
      <u/>
      <sz val="10"/>
      <color theme="1"/>
      <name val="Aptos"/>
    </font>
    <font>
      <sz val="10"/>
      <name val="Aptos"/>
    </font>
    <font>
      <sz val="10"/>
      <color rgb="FFFF0000"/>
      <name val="Aptos"/>
    </font>
    <font>
      <b/>
      <sz val="10"/>
      <color rgb="FF000000"/>
      <name val="Aptos"/>
    </font>
    <font>
      <b/>
      <sz val="10"/>
      <color rgb="FFFFFFFF"/>
      <name val="Aptos"/>
    </font>
    <font>
      <b/>
      <i/>
      <sz val="10"/>
      <color theme="1"/>
      <name val="Aptos"/>
    </font>
    <font>
      <b/>
      <sz val="10"/>
      <color theme="1"/>
      <name val="Aptos"/>
      <family val="2"/>
    </font>
  </fonts>
  <fills count="1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2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166" fontId="4" fillId="5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center" vertical="center"/>
    </xf>
    <xf numFmtId="167" fontId="10" fillId="5" borderId="8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7" fontId="10" fillId="8" borderId="8" xfId="0" applyNumberFormat="1" applyFont="1" applyFill="1" applyBorder="1" applyAlignment="1">
      <alignment horizontal="center" vertical="center"/>
    </xf>
    <xf numFmtId="167" fontId="10" fillId="9" borderId="8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vertical="top"/>
    </xf>
    <xf numFmtId="0" fontId="14" fillId="0" borderId="0" xfId="0" applyFont="1"/>
    <xf numFmtId="0" fontId="10" fillId="0" borderId="0" xfId="0" applyFont="1"/>
    <xf numFmtId="167" fontId="10" fillId="10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8" xfId="0" applyNumberFormat="1" applyFont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0" fillId="9" borderId="4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7" fontId="13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3" fillId="6" borderId="15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left" vertical="center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center" wrapText="1"/>
    </xf>
    <xf numFmtId="167" fontId="13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/>
    </xf>
    <xf numFmtId="167" fontId="13" fillId="6" borderId="18" xfId="0" applyNumberFormat="1" applyFont="1" applyFill="1" applyBorder="1" applyAlignment="1">
      <alignment horizontal="center"/>
    </xf>
    <xf numFmtId="167" fontId="5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vertical="center" wrapText="1"/>
    </xf>
    <xf numFmtId="1" fontId="5" fillId="0" borderId="0" xfId="0" applyNumberFormat="1" applyFont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13" borderId="8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vertical="top" wrapText="1"/>
    </xf>
    <xf numFmtId="0" fontId="5" fillId="10" borderId="8" xfId="0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167" fontId="13" fillId="0" borderId="25" xfId="0" applyNumberFormat="1" applyFont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0" fillId="13" borderId="8" xfId="0" applyNumberFormat="1" applyFont="1" applyFill="1" applyBorder="1" applyAlignment="1">
      <alignment horizontal="center" vertical="center"/>
    </xf>
    <xf numFmtId="167" fontId="5" fillId="10" borderId="8" xfId="0" applyNumberFormat="1" applyFont="1" applyFill="1" applyBorder="1" applyAlignment="1">
      <alignment horizontal="center" vertical="center"/>
    </xf>
    <xf numFmtId="166" fontId="4" fillId="13" borderId="8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7" fontId="5" fillId="13" borderId="8" xfId="0" applyNumberFormat="1" applyFont="1" applyFill="1" applyBorder="1" applyAlignment="1">
      <alignment horizontal="center" vertical="center"/>
    </xf>
    <xf numFmtId="0" fontId="5" fillId="10" borderId="26" xfId="0" applyFont="1" applyFill="1" applyBorder="1"/>
    <xf numFmtId="167" fontId="10" fillId="9" borderId="2" xfId="0" applyNumberFormat="1" applyFont="1" applyFill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167" fontId="13" fillId="6" borderId="27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 vertical="top" wrapText="1"/>
    </xf>
    <xf numFmtId="165" fontId="20" fillId="2" borderId="1" xfId="0" applyNumberFormat="1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vertical="top"/>
    </xf>
    <xf numFmtId="0" fontId="22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166" fontId="20" fillId="5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166" fontId="21" fillId="5" borderId="5" xfId="0" applyNumberFormat="1" applyFont="1" applyFill="1" applyBorder="1" applyAlignment="1">
      <alignment horizontal="center" vertical="center"/>
    </xf>
    <xf numFmtId="167" fontId="23" fillId="5" borderId="8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top"/>
    </xf>
    <xf numFmtId="15" fontId="23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center" vertical="center"/>
    </xf>
    <xf numFmtId="166" fontId="20" fillId="5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5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" fontId="20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167" fontId="27" fillId="0" borderId="8" xfId="0" applyNumberFormat="1" applyFont="1" applyBorder="1" applyAlignment="1">
      <alignment horizontal="center"/>
    </xf>
    <xf numFmtId="167" fontId="23" fillId="0" borderId="8" xfId="0" applyNumberFormat="1" applyFont="1" applyBorder="1" applyAlignment="1">
      <alignment horizontal="center"/>
    </xf>
    <xf numFmtId="167" fontId="27" fillId="6" borderId="15" xfId="0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167" fontId="27" fillId="0" borderId="17" xfId="0" applyNumberFormat="1" applyFont="1" applyBorder="1" applyAlignment="1">
      <alignment horizontal="center"/>
    </xf>
    <xf numFmtId="167" fontId="23" fillId="0" borderId="17" xfId="0" applyNumberFormat="1" applyFont="1" applyBorder="1" applyAlignment="1">
      <alignment horizontal="center"/>
    </xf>
    <xf numFmtId="167" fontId="27" fillId="6" borderId="18" xfId="0" applyNumberFormat="1" applyFont="1" applyFill="1" applyBorder="1" applyAlignment="1">
      <alignment horizontal="center"/>
    </xf>
    <xf numFmtId="167" fontId="21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1" fontId="21" fillId="0" borderId="0" xfId="0" applyNumberFormat="1" applyFont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15" xfId="0" applyFont="1" applyFill="1" applyBorder="1" applyAlignment="1">
      <alignment horizontal="center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left"/>
    </xf>
    <xf numFmtId="0" fontId="23" fillId="0" borderId="8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4" xfId="0" applyFont="1" applyBorder="1" applyAlignment="1">
      <alignment vertical="top" wrapText="1"/>
    </xf>
    <xf numFmtId="0" fontId="21" fillId="13" borderId="8" xfId="0" applyFont="1" applyFill="1" applyBorder="1" applyAlignment="1">
      <alignment horizontal="center" vertical="top" wrapText="1"/>
    </xf>
    <xf numFmtId="0" fontId="21" fillId="0" borderId="16" xfId="0" applyFont="1" applyBorder="1" applyAlignment="1">
      <alignment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167" fontId="23" fillId="14" borderId="8" xfId="0" applyNumberFormat="1" applyFont="1" applyFill="1" applyBorder="1" applyAlignment="1">
      <alignment horizontal="center" vertical="center"/>
    </xf>
    <xf numFmtId="167" fontId="23" fillId="14" borderId="2" xfId="0" applyNumberFormat="1" applyFont="1" applyFill="1" applyBorder="1" applyAlignment="1">
      <alignment horizontal="center" vertical="center"/>
    </xf>
    <xf numFmtId="167" fontId="23" fillId="14" borderId="4" xfId="0" applyNumberFormat="1" applyFont="1" applyFill="1" applyBorder="1" applyAlignment="1">
      <alignment horizontal="center" vertical="center"/>
    </xf>
    <xf numFmtId="167" fontId="21" fillId="14" borderId="8" xfId="0" applyNumberFormat="1" applyFont="1" applyFill="1" applyBorder="1" applyAlignment="1">
      <alignment horizontal="center" vertical="center"/>
    </xf>
    <xf numFmtId="0" fontId="21" fillId="10" borderId="26" xfId="0" applyFont="1" applyFill="1" applyBorder="1"/>
    <xf numFmtId="167" fontId="23" fillId="15" borderId="8" xfId="0" applyNumberFormat="1" applyFont="1" applyFill="1" applyBorder="1" applyAlignment="1">
      <alignment horizontal="center" vertical="center"/>
    </xf>
    <xf numFmtId="167" fontId="23" fillId="16" borderId="8" xfId="0" applyNumberFormat="1" applyFont="1" applyFill="1" applyBorder="1" applyAlignment="1">
      <alignment horizontal="center" vertical="center"/>
    </xf>
    <xf numFmtId="167" fontId="23" fillId="14" borderId="5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top" wrapText="1"/>
    </xf>
    <xf numFmtId="167" fontId="28" fillId="11" borderId="25" xfId="0" applyNumberFormat="1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15" fontId="28" fillId="11" borderId="25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vertical="top" wrapText="1"/>
    </xf>
    <xf numFmtId="167" fontId="15" fillId="11" borderId="25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15" fontId="15" fillId="11" borderId="25" xfId="0" applyNumberFormat="1" applyFont="1" applyFill="1" applyBorder="1" applyAlignment="1">
      <alignment horizontal="center"/>
    </xf>
    <xf numFmtId="167" fontId="10" fillId="10" borderId="5" xfId="0" applyNumberFormat="1" applyFont="1" applyFill="1" applyBorder="1" applyAlignment="1">
      <alignment horizontal="center" vertical="center"/>
    </xf>
    <xf numFmtId="167" fontId="10" fillId="9" borderId="5" xfId="0" applyNumberFormat="1" applyFont="1" applyFill="1" applyBorder="1" applyAlignment="1">
      <alignment horizontal="center" vertical="center"/>
    </xf>
    <xf numFmtId="167" fontId="23" fillId="17" borderId="8" xfId="0" applyNumberFormat="1" applyFont="1" applyFill="1" applyBorder="1" applyAlignment="1">
      <alignment horizontal="center" vertical="center"/>
    </xf>
    <xf numFmtId="167" fontId="21" fillId="17" borderId="8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vertical="top"/>
    </xf>
    <xf numFmtId="0" fontId="21" fillId="14" borderId="5" xfId="0" applyFont="1" applyFill="1" applyBorder="1" applyAlignment="1">
      <alignment horizontal="center" vertical="center" wrapText="1"/>
    </xf>
    <xf numFmtId="167" fontId="23" fillId="17" borderId="5" xfId="0" applyNumberFormat="1" applyFont="1" applyFill="1" applyBorder="1" applyAlignment="1">
      <alignment horizontal="center" vertical="center"/>
    </xf>
    <xf numFmtId="167" fontId="23" fillId="17" borderId="4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3" fillId="0" borderId="24" xfId="0" applyFont="1" applyBorder="1" applyAlignment="1">
      <alignment vertical="center" wrapText="1"/>
    </xf>
    <xf numFmtId="167" fontId="27" fillId="0" borderId="25" xfId="0" applyNumberFormat="1" applyFont="1" applyBorder="1" applyAlignment="1">
      <alignment horizontal="center"/>
    </xf>
    <xf numFmtId="167" fontId="23" fillId="0" borderId="25" xfId="0" applyNumberFormat="1" applyFont="1" applyBorder="1" applyAlignment="1">
      <alignment horizontal="center"/>
    </xf>
    <xf numFmtId="167" fontId="27" fillId="6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7" fontId="27" fillId="6" borderId="29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 vertical="top" wrapText="1"/>
    </xf>
    <xf numFmtId="0" fontId="20" fillId="7" borderId="8" xfId="0" applyFont="1" applyFill="1" applyBorder="1" applyAlignment="1">
      <alignment horizontal="center" vertical="top" wrapText="1"/>
    </xf>
    <xf numFmtId="16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vertical="top" wrapText="1"/>
    </xf>
    <xf numFmtId="167" fontId="28" fillId="11" borderId="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vertical="top" wrapText="1"/>
    </xf>
    <xf numFmtId="0" fontId="28" fillId="11" borderId="8" xfId="0" applyFont="1" applyFill="1" applyBorder="1" applyAlignment="1">
      <alignment horizontal="center" vertical="center" wrapText="1"/>
    </xf>
    <xf numFmtId="15" fontId="28" fillId="11" borderId="8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167" fontId="21" fillId="15" borderId="8" xfId="0" applyNumberFormat="1" applyFont="1" applyFill="1" applyBorder="1" applyAlignment="1">
      <alignment horizontal="center" vertical="center"/>
    </xf>
    <xf numFmtId="167" fontId="21" fillId="16" borderId="8" xfId="0" applyNumberFormat="1" applyFont="1" applyFill="1" applyBorder="1" applyAlignment="1">
      <alignment horizontal="center" vertical="center"/>
    </xf>
    <xf numFmtId="0" fontId="21" fillId="10" borderId="30" xfId="0" applyFont="1" applyFill="1" applyBorder="1"/>
    <xf numFmtId="0" fontId="26" fillId="0" borderId="1" xfId="0" applyFont="1" applyBorder="1"/>
    <xf numFmtId="0" fontId="21" fillId="8" borderId="31" xfId="0" applyFont="1" applyFill="1" applyBorder="1" applyAlignment="1">
      <alignment vertical="top"/>
    </xf>
    <xf numFmtId="0" fontId="19" fillId="0" borderId="32" xfId="0" applyFont="1" applyBorder="1" applyAlignment="1">
      <alignment horizontal="center" vertical="center" wrapText="1"/>
    </xf>
    <xf numFmtId="167" fontId="21" fillId="14" borderId="2" xfId="0" applyNumberFormat="1" applyFont="1" applyFill="1" applyBorder="1" applyAlignment="1">
      <alignment horizontal="center" vertical="center"/>
    </xf>
    <xf numFmtId="167" fontId="21" fillId="17" borderId="4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21" fillId="14" borderId="25" xfId="0" applyNumberFormat="1" applyFont="1" applyFill="1" applyBorder="1" applyAlignment="1">
      <alignment horizontal="center" vertical="center"/>
    </xf>
    <xf numFmtId="167" fontId="21" fillId="18" borderId="8" xfId="0" applyNumberFormat="1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 wrapText="1"/>
    </xf>
    <xf numFmtId="167" fontId="27" fillId="6" borderId="2" xfId="0" applyNumberFormat="1" applyFont="1" applyFill="1" applyBorder="1" applyAlignment="1">
      <alignment horizontal="center"/>
    </xf>
    <xf numFmtId="167" fontId="27" fillId="6" borderId="7" xfId="0" applyNumberFormat="1" applyFont="1" applyFill="1" applyBorder="1" applyAlignment="1">
      <alignment horizontal="center"/>
    </xf>
    <xf numFmtId="167" fontId="27" fillId="6" borderId="35" xfId="0" applyNumberFormat="1" applyFont="1" applyFill="1" applyBorder="1" applyAlignment="1">
      <alignment horizontal="center"/>
    </xf>
    <xf numFmtId="0" fontId="21" fillId="0" borderId="33" xfId="0" applyFont="1" applyBorder="1"/>
    <xf numFmtId="167" fontId="30" fillId="0" borderId="8" xfId="0" applyNumberFormat="1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 wrapText="1"/>
    </xf>
    <xf numFmtId="0" fontId="20" fillId="3" borderId="8" xfId="0" applyFont="1" applyFill="1" applyBorder="1" applyAlignment="1">
      <alignment horizontal="center" vertical="center" wrapText="1"/>
    </xf>
    <xf numFmtId="0" fontId="25" fillId="0" borderId="8" xfId="0" applyFont="1" applyBorder="1"/>
    <xf numFmtId="0" fontId="20" fillId="0" borderId="19" xfId="0" applyFont="1" applyBorder="1" applyAlignment="1">
      <alignment horizontal="left" vertical="top" wrapText="1"/>
    </xf>
    <xf numFmtId="0" fontId="25" fillId="0" borderId="20" xfId="0" applyFont="1" applyBorder="1"/>
    <xf numFmtId="0" fontId="25" fillId="0" borderId="21" xfId="0" applyFont="1" applyBorder="1"/>
    <xf numFmtId="0" fontId="20" fillId="4" borderId="8" xfId="0" applyFont="1" applyFill="1" applyBorder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4" fillId="3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4" fillId="0" borderId="19" xfId="0" applyFont="1" applyBorder="1" applyAlignment="1">
      <alignment horizontal="left" vertical="top" wrapText="1"/>
    </xf>
    <xf numFmtId="0" fontId="9" fillId="0" borderId="20" xfId="0" applyFont="1" applyBorder="1"/>
    <xf numFmtId="0" fontId="9" fillId="0" borderId="21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48C35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C44-34AE-449A-BC8F-B6ADA3E1EE45}">
  <sheetPr>
    <tabColor rgb="FFFFFF00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45809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9" t="s">
        <v>1</v>
      </c>
      <c r="B3" s="259" t="s">
        <v>2</v>
      </c>
      <c r="C3" s="259" t="s">
        <v>3</v>
      </c>
      <c r="D3" s="259" t="s">
        <v>4</v>
      </c>
      <c r="E3" s="261" t="s">
        <v>5</v>
      </c>
      <c r="F3" s="262"/>
      <c r="G3" s="262"/>
      <c r="H3" s="263"/>
      <c r="I3" s="121">
        <f>C1</f>
        <v>45809</v>
      </c>
      <c r="J3" s="121">
        <f t="shared" ref="J3:W3" si="0">I3+1</f>
        <v>45810</v>
      </c>
      <c r="K3" s="121">
        <f t="shared" si="0"/>
        <v>45811</v>
      </c>
      <c r="L3" s="121">
        <f t="shared" si="0"/>
        <v>45812</v>
      </c>
      <c r="M3" s="121">
        <f t="shared" si="0"/>
        <v>45813</v>
      </c>
      <c r="N3" s="121">
        <f t="shared" si="0"/>
        <v>45814</v>
      </c>
      <c r="O3" s="121">
        <f t="shared" si="0"/>
        <v>45815</v>
      </c>
      <c r="P3" s="121">
        <f t="shared" si="0"/>
        <v>45816</v>
      </c>
      <c r="Q3" s="121">
        <f t="shared" si="0"/>
        <v>45817</v>
      </c>
      <c r="R3" s="121">
        <f t="shared" si="0"/>
        <v>45818</v>
      </c>
      <c r="S3" s="121">
        <f t="shared" si="0"/>
        <v>45819</v>
      </c>
      <c r="T3" s="121">
        <f t="shared" si="0"/>
        <v>45820</v>
      </c>
      <c r="U3" s="121">
        <f t="shared" si="0"/>
        <v>45821</v>
      </c>
      <c r="V3" s="121">
        <f t="shared" si="0"/>
        <v>45822</v>
      </c>
      <c r="W3" s="121">
        <f t="shared" si="0"/>
        <v>45823</v>
      </c>
      <c r="X3" s="259" t="s">
        <v>6</v>
      </c>
      <c r="Y3" s="259" t="s">
        <v>7</v>
      </c>
      <c r="Z3" s="120"/>
      <c r="AA3" s="114"/>
      <c r="AB3" s="114"/>
    </row>
    <row r="4" spans="1:35" ht="27" customHeight="1">
      <c r="A4" s="260"/>
      <c r="B4" s="260"/>
      <c r="C4" s="260"/>
      <c r="D4" s="260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128" t="str">
        <f t="shared" si="1"/>
        <v>Wed</v>
      </c>
      <c r="M4" s="128" t="str">
        <f t="shared" si="1"/>
        <v>Thu</v>
      </c>
      <c r="N4" s="126" t="str">
        <f t="shared" si="1"/>
        <v>Fri</v>
      </c>
      <c r="O4" s="126" t="str">
        <f t="shared" si="1"/>
        <v>Sat</v>
      </c>
      <c r="P4" s="128" t="str">
        <f t="shared" si="1"/>
        <v>Sun</v>
      </c>
      <c r="Q4" s="128" t="str">
        <f t="shared" si="1"/>
        <v>Mon</v>
      </c>
      <c r="R4" s="128" t="str">
        <f t="shared" si="1"/>
        <v>Tue</v>
      </c>
      <c r="S4" s="128" t="str">
        <f t="shared" si="1"/>
        <v>Wed</v>
      </c>
      <c r="T4" s="128" t="str">
        <f t="shared" si="1"/>
        <v>Thu</v>
      </c>
      <c r="U4" s="128" t="str">
        <f t="shared" si="1"/>
        <v>Fri</v>
      </c>
      <c r="V4" s="128" t="str">
        <f t="shared" si="1"/>
        <v>Sat</v>
      </c>
      <c r="W4" s="128" t="str">
        <f t="shared" si="1"/>
        <v>Sun</v>
      </c>
      <c r="X4" s="260"/>
      <c r="Y4" s="260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99"/>
      <c r="J5" s="180">
        <v>8</v>
      </c>
      <c r="K5" s="207">
        <v>8</v>
      </c>
      <c r="L5" s="186"/>
      <c r="M5" s="180">
        <v>8</v>
      </c>
      <c r="N5" s="180">
        <v>8</v>
      </c>
      <c r="O5" s="199"/>
      <c r="P5" s="199"/>
      <c r="Q5" s="180">
        <v>8</v>
      </c>
      <c r="R5" s="207">
        <v>8</v>
      </c>
      <c r="S5" s="207">
        <v>8</v>
      </c>
      <c r="T5" s="180">
        <v>8</v>
      </c>
      <c r="U5" s="180">
        <v>8</v>
      </c>
      <c r="V5" s="199"/>
      <c r="W5" s="199"/>
      <c r="X5" s="134">
        <f>Y5-COUNTA(I5:W5)</f>
        <v>1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80">
        <v>8</v>
      </c>
      <c r="K6" s="207">
        <v>8</v>
      </c>
      <c r="L6" s="207">
        <v>8</v>
      </c>
      <c r="M6" s="180">
        <v>8</v>
      </c>
      <c r="N6" s="180">
        <v>8</v>
      </c>
      <c r="O6" s="199"/>
      <c r="P6" s="199"/>
      <c r="Q6" s="180">
        <v>8</v>
      </c>
      <c r="R6" s="207">
        <v>8</v>
      </c>
      <c r="S6" s="207">
        <v>8</v>
      </c>
      <c r="T6" s="180">
        <v>8</v>
      </c>
      <c r="U6" s="180">
        <v>8</v>
      </c>
      <c r="V6" s="199"/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99"/>
      <c r="J7" s="180">
        <v>8</v>
      </c>
      <c r="K7" s="207">
        <v>8</v>
      </c>
      <c r="L7" s="207">
        <v>8</v>
      </c>
      <c r="M7" s="180">
        <v>8</v>
      </c>
      <c r="N7" s="180">
        <v>8</v>
      </c>
      <c r="O7" s="199"/>
      <c r="P7" s="199"/>
      <c r="Q7" s="180">
        <v>8</v>
      </c>
      <c r="R7" s="207">
        <v>8</v>
      </c>
      <c r="S7" s="207">
        <v>8</v>
      </c>
      <c r="T7" s="180">
        <v>8</v>
      </c>
      <c r="U7" s="180">
        <v>8</v>
      </c>
      <c r="V7" s="199"/>
      <c r="W7" s="199"/>
      <c r="X7" s="134">
        <f t="shared" si="6"/>
        <v>0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80">
        <v>8</v>
      </c>
      <c r="K8" s="207">
        <v>8</v>
      </c>
      <c r="L8" s="207">
        <v>8</v>
      </c>
      <c r="M8" s="180">
        <v>8</v>
      </c>
      <c r="N8" s="180">
        <v>8</v>
      </c>
      <c r="O8" s="199"/>
      <c r="P8" s="199"/>
      <c r="Q8" s="180">
        <v>8</v>
      </c>
      <c r="R8" s="207">
        <v>8</v>
      </c>
      <c r="S8" s="207">
        <v>8</v>
      </c>
      <c r="T8" s="180">
        <v>8</v>
      </c>
      <c r="U8" s="180">
        <v>8</v>
      </c>
      <c r="V8" s="199"/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80">
        <v>8</v>
      </c>
      <c r="K9" s="207">
        <v>8</v>
      </c>
      <c r="L9" s="207">
        <v>8</v>
      </c>
      <c r="M9" s="180">
        <v>8</v>
      </c>
      <c r="N9" s="180">
        <v>8</v>
      </c>
      <c r="O9" s="199"/>
      <c r="P9" s="199"/>
      <c r="Q9" s="180">
        <v>8</v>
      </c>
      <c r="R9" s="207">
        <v>8</v>
      </c>
      <c r="S9" s="207">
        <v>8</v>
      </c>
      <c r="T9" s="207">
        <v>8</v>
      </c>
      <c r="U9" s="207">
        <v>8</v>
      </c>
      <c r="V9" s="199"/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199"/>
      <c r="J10" s="186"/>
      <c r="K10" s="207">
        <v>8</v>
      </c>
      <c r="L10" s="207">
        <v>8</v>
      </c>
      <c r="M10" s="180">
        <v>8</v>
      </c>
      <c r="N10" s="180">
        <v>8</v>
      </c>
      <c r="O10" s="199"/>
      <c r="P10" s="206"/>
      <c r="Q10" s="186"/>
      <c r="R10" s="207">
        <v>8</v>
      </c>
      <c r="S10" s="208">
        <v>8</v>
      </c>
      <c r="T10" s="187">
        <v>8</v>
      </c>
      <c r="U10" s="182">
        <v>8</v>
      </c>
      <c r="V10" s="199"/>
      <c r="W10" s="206"/>
      <c r="X10" s="134">
        <f t="shared" si="6"/>
        <v>2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456</v>
      </c>
      <c r="G15" s="189">
        <f t="shared" si="8"/>
        <v>456</v>
      </c>
      <c r="H15" s="189">
        <f t="shared" si="8"/>
        <v>0</v>
      </c>
      <c r="I15" s="189">
        <f t="shared" si="8"/>
        <v>0</v>
      </c>
      <c r="J15" s="189">
        <f t="shared" si="8"/>
        <v>40</v>
      </c>
      <c r="K15" s="189">
        <f t="shared" si="8"/>
        <v>48</v>
      </c>
      <c r="L15" s="189">
        <f t="shared" si="8"/>
        <v>40</v>
      </c>
      <c r="M15" s="189">
        <f t="shared" si="8"/>
        <v>48</v>
      </c>
      <c r="N15" s="189">
        <f t="shared" si="8"/>
        <v>48</v>
      </c>
      <c r="O15" s="189">
        <f t="shared" si="8"/>
        <v>0</v>
      </c>
      <c r="P15" s="189">
        <f t="shared" si="8"/>
        <v>0</v>
      </c>
      <c r="Q15" s="189">
        <f t="shared" si="8"/>
        <v>40</v>
      </c>
      <c r="R15" s="189">
        <f t="shared" si="8"/>
        <v>48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0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9" t="s">
        <v>1</v>
      </c>
      <c r="B18" s="259" t="s">
        <v>2</v>
      </c>
      <c r="C18" s="259" t="s">
        <v>3</v>
      </c>
      <c r="D18" s="259" t="s">
        <v>4</v>
      </c>
      <c r="E18" s="261" t="s">
        <v>5</v>
      </c>
      <c r="F18" s="262"/>
      <c r="G18" s="262"/>
      <c r="H18" s="263"/>
      <c r="I18" s="141">
        <f>W3+1</f>
        <v>45824</v>
      </c>
      <c r="J18" s="141">
        <f t="shared" ref="J18:W18" si="9">I18+1</f>
        <v>45825</v>
      </c>
      <c r="K18" s="141">
        <f t="shared" si="9"/>
        <v>45826</v>
      </c>
      <c r="L18" s="121">
        <f t="shared" si="9"/>
        <v>45827</v>
      </c>
      <c r="M18" s="141">
        <f t="shared" si="9"/>
        <v>45828</v>
      </c>
      <c r="N18" s="141">
        <f t="shared" si="9"/>
        <v>45829</v>
      </c>
      <c r="O18" s="141">
        <f t="shared" si="9"/>
        <v>45830</v>
      </c>
      <c r="P18" s="141">
        <f t="shared" si="9"/>
        <v>45831</v>
      </c>
      <c r="Q18" s="141">
        <f t="shared" si="9"/>
        <v>45832</v>
      </c>
      <c r="R18" s="141">
        <f t="shared" si="9"/>
        <v>45833</v>
      </c>
      <c r="S18" s="141">
        <f t="shared" si="9"/>
        <v>45834</v>
      </c>
      <c r="T18" s="141">
        <f t="shared" si="9"/>
        <v>45835</v>
      </c>
      <c r="U18" s="141">
        <f t="shared" si="9"/>
        <v>45836</v>
      </c>
      <c r="V18" s="141">
        <f t="shared" si="9"/>
        <v>45837</v>
      </c>
      <c r="W18" s="141">
        <f t="shared" si="9"/>
        <v>45838</v>
      </c>
      <c r="X18" s="141"/>
      <c r="Y18" s="259" t="s">
        <v>6</v>
      </c>
      <c r="Z18" s="259" t="s">
        <v>7</v>
      </c>
      <c r="AA18" s="120"/>
      <c r="AB18" s="114"/>
    </row>
    <row r="19" spans="1:29" ht="26.25" customHeight="1">
      <c r="A19" s="260"/>
      <c r="B19" s="260"/>
      <c r="C19" s="260"/>
      <c r="D19" s="260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Mon</v>
      </c>
      <c r="J19" s="128" t="str">
        <f t="shared" si="10"/>
        <v>Tue</v>
      </c>
      <c r="K19" s="128" t="str">
        <f t="shared" si="10"/>
        <v>Wed</v>
      </c>
      <c r="L19" s="128" t="str">
        <f t="shared" si="10"/>
        <v>Thu</v>
      </c>
      <c r="M19" s="128" t="str">
        <f t="shared" si="10"/>
        <v>Fri</v>
      </c>
      <c r="N19" s="128" t="str">
        <f t="shared" si="10"/>
        <v>Sat</v>
      </c>
      <c r="O19" s="128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128" t="str">
        <f t="shared" si="10"/>
        <v>Wed</v>
      </c>
      <c r="S19" s="128" t="str">
        <f t="shared" si="10"/>
        <v>Thu</v>
      </c>
      <c r="T19" s="128" t="str">
        <f t="shared" si="10"/>
        <v>Fri</v>
      </c>
      <c r="U19" s="128" t="str">
        <f t="shared" si="10"/>
        <v>Sat</v>
      </c>
      <c r="V19" s="128" t="str">
        <f t="shared" si="10"/>
        <v>Sun</v>
      </c>
      <c r="W19" s="127" t="str">
        <f t="shared" si="10"/>
        <v>Mon</v>
      </c>
      <c r="X19" s="127"/>
      <c r="Y19" s="260"/>
      <c r="Z19" s="260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07">
        <v>8</v>
      </c>
      <c r="K20" s="207">
        <v>8</v>
      </c>
      <c r="L20" s="180">
        <v>8</v>
      </c>
      <c r="M20" s="180">
        <v>8</v>
      </c>
      <c r="N20" s="199"/>
      <c r="O20" s="199"/>
      <c r="P20" s="180">
        <v>8</v>
      </c>
      <c r="Q20" s="207">
        <v>8</v>
      </c>
      <c r="R20" s="207">
        <v>8</v>
      </c>
      <c r="S20" s="180">
        <v>8</v>
      </c>
      <c r="T20" s="180">
        <v>8</v>
      </c>
      <c r="U20" s="199"/>
      <c r="V20" s="199"/>
      <c r="W20" s="207">
        <v>8</v>
      </c>
      <c r="X20" s="207"/>
      <c r="Y20" s="134">
        <f t="shared" ref="Y20:Y25" si="15">Z20-COUNTA(I20:X20)</f>
        <v>0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207">
        <v>8</v>
      </c>
      <c r="K21" s="186"/>
      <c r="L21" s="180">
        <v>8</v>
      </c>
      <c r="M21" s="180">
        <v>8</v>
      </c>
      <c r="N21" s="199"/>
      <c r="O21" s="200"/>
      <c r="P21" s="180">
        <v>8</v>
      </c>
      <c r="Q21" s="207">
        <v>8</v>
      </c>
      <c r="R21" s="140">
        <v>8</v>
      </c>
      <c r="S21" s="207">
        <v>8</v>
      </c>
      <c r="T21" s="180">
        <v>8</v>
      </c>
      <c r="U21" s="199"/>
      <c r="V21" s="200"/>
      <c r="W21" s="180">
        <v>8</v>
      </c>
      <c r="X21" s="207"/>
      <c r="Y21" s="134">
        <f t="shared" si="15"/>
        <v>1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72</v>
      </c>
      <c r="G22" s="134">
        <f t="shared" si="14"/>
        <v>72</v>
      </c>
      <c r="H22" s="135">
        <v>0</v>
      </c>
      <c r="I22" s="186"/>
      <c r="J22" s="186"/>
      <c r="K22" s="207">
        <v>8</v>
      </c>
      <c r="L22" s="180">
        <v>8</v>
      </c>
      <c r="M22" s="180">
        <v>8</v>
      </c>
      <c r="N22" s="199"/>
      <c r="O22" s="199"/>
      <c r="P22" s="207">
        <v>8</v>
      </c>
      <c r="Q22" s="207">
        <v>8</v>
      </c>
      <c r="R22" s="207">
        <v>8</v>
      </c>
      <c r="S22" s="180">
        <v>8</v>
      </c>
      <c r="T22" s="180">
        <v>8</v>
      </c>
      <c r="U22" s="199"/>
      <c r="V22" s="199"/>
      <c r="W22" s="180">
        <v>8</v>
      </c>
      <c r="X22" s="207"/>
      <c r="Y22" s="134">
        <f t="shared" si="15"/>
        <v>2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207">
        <v>8</v>
      </c>
      <c r="K23" s="207">
        <v>8</v>
      </c>
      <c r="L23" s="180">
        <v>8</v>
      </c>
      <c r="M23" s="186"/>
      <c r="N23" s="199"/>
      <c r="O23" s="200"/>
      <c r="P23" s="180">
        <v>8</v>
      </c>
      <c r="Q23" s="207">
        <v>8</v>
      </c>
      <c r="R23" s="140">
        <v>8</v>
      </c>
      <c r="S23" s="180">
        <v>8</v>
      </c>
      <c r="T23" s="180">
        <v>8</v>
      </c>
      <c r="U23" s="199"/>
      <c r="V23" s="200"/>
      <c r="W23" s="180">
        <v>8</v>
      </c>
      <c r="X23" s="207"/>
      <c r="Y23" s="134">
        <f t="shared" si="15"/>
        <v>1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207">
        <v>8</v>
      </c>
      <c r="K24" s="207">
        <v>8</v>
      </c>
      <c r="L24" s="186"/>
      <c r="M24" s="180">
        <v>8</v>
      </c>
      <c r="N24" s="199"/>
      <c r="O24" s="199"/>
      <c r="P24" s="180">
        <v>8</v>
      </c>
      <c r="Q24" s="207">
        <v>8</v>
      </c>
      <c r="R24" s="207">
        <v>8</v>
      </c>
      <c r="S24" s="180">
        <v>8</v>
      </c>
      <c r="T24" s="180">
        <v>8</v>
      </c>
      <c r="U24" s="199"/>
      <c r="V24" s="199"/>
      <c r="W24" s="207">
        <v>8</v>
      </c>
      <c r="X24" s="207"/>
      <c r="Y24" s="134">
        <f t="shared" si="15"/>
        <v>1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88</v>
      </c>
      <c r="G25" s="134">
        <f t="shared" si="14"/>
        <v>88</v>
      </c>
      <c r="H25" s="135">
        <v>0</v>
      </c>
      <c r="I25" s="180">
        <v>8</v>
      </c>
      <c r="J25" s="207">
        <v>8</v>
      </c>
      <c r="K25" s="207">
        <v>8</v>
      </c>
      <c r="L25" s="180">
        <v>8</v>
      </c>
      <c r="M25" s="180">
        <v>8</v>
      </c>
      <c r="N25" s="199"/>
      <c r="O25" s="200"/>
      <c r="P25" s="183">
        <v>8</v>
      </c>
      <c r="Q25" s="207">
        <v>8</v>
      </c>
      <c r="R25" s="140">
        <v>8</v>
      </c>
      <c r="S25" s="183">
        <v>8</v>
      </c>
      <c r="T25" s="183">
        <v>8</v>
      </c>
      <c r="U25" s="199"/>
      <c r="V25" s="200"/>
      <c r="W25" s="180">
        <v>8</v>
      </c>
      <c r="X25" s="207"/>
      <c r="Y25" s="134">
        <f t="shared" si="15"/>
        <v>0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488</v>
      </c>
      <c r="G30" s="189">
        <f t="shared" si="16"/>
        <v>488</v>
      </c>
      <c r="H30" s="189">
        <f t="shared" si="16"/>
        <v>0</v>
      </c>
      <c r="I30" s="189">
        <f t="shared" si="16"/>
        <v>40</v>
      </c>
      <c r="J30" s="189">
        <f t="shared" si="16"/>
        <v>40</v>
      </c>
      <c r="K30" s="189">
        <f t="shared" si="16"/>
        <v>40</v>
      </c>
      <c r="L30" s="189">
        <f t="shared" si="16"/>
        <v>40</v>
      </c>
      <c r="M30" s="189">
        <f t="shared" si="16"/>
        <v>40</v>
      </c>
      <c r="N30" s="189">
        <f t="shared" si="16"/>
        <v>0</v>
      </c>
      <c r="O30" s="189">
        <f t="shared" si="16"/>
        <v>0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48</v>
      </c>
      <c r="T30" s="189">
        <f t="shared" si="16"/>
        <v>48</v>
      </c>
      <c r="U30" s="189">
        <f t="shared" si="16"/>
        <v>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168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168</v>
      </c>
      <c r="D36" s="155">
        <f t="shared" si="18"/>
        <v>152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168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160</v>
      </c>
      <c r="C38" s="159">
        <f t="shared" si="17"/>
        <v>168</v>
      </c>
      <c r="D38" s="160">
        <f t="shared" si="18"/>
        <v>160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BF11-1838-4623-BBB0-4968067F8ADE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45901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4"/>
      <c r="G3" s="254"/>
      <c r="H3" s="254"/>
      <c r="I3" s="141">
        <f>C1</f>
        <v>45901</v>
      </c>
      <c r="J3" s="141">
        <f t="shared" ref="J3:W3" si="0">I3+1</f>
        <v>45902</v>
      </c>
      <c r="K3" s="141">
        <f t="shared" si="0"/>
        <v>45903</v>
      </c>
      <c r="L3" s="141">
        <f t="shared" si="0"/>
        <v>45904</v>
      </c>
      <c r="M3" s="141">
        <f t="shared" si="0"/>
        <v>45905</v>
      </c>
      <c r="N3" s="141">
        <f t="shared" si="0"/>
        <v>45906</v>
      </c>
      <c r="O3" s="141">
        <f t="shared" si="0"/>
        <v>45907</v>
      </c>
      <c r="P3" s="141">
        <f t="shared" si="0"/>
        <v>45908</v>
      </c>
      <c r="Q3" s="141">
        <f t="shared" si="0"/>
        <v>45909</v>
      </c>
      <c r="R3" s="141">
        <f t="shared" si="0"/>
        <v>45910</v>
      </c>
      <c r="S3" s="141">
        <f t="shared" si="0"/>
        <v>45911</v>
      </c>
      <c r="T3" s="141">
        <f t="shared" si="0"/>
        <v>45912</v>
      </c>
      <c r="U3" s="141">
        <f t="shared" si="0"/>
        <v>45913</v>
      </c>
      <c r="V3" s="141">
        <f t="shared" si="0"/>
        <v>45914</v>
      </c>
      <c r="W3" s="141">
        <f t="shared" si="0"/>
        <v>45915</v>
      </c>
      <c r="X3" s="253" t="s">
        <v>6</v>
      </c>
      <c r="Y3" s="253" t="s">
        <v>7</v>
      </c>
      <c r="Z3" s="209"/>
      <c r="AA3" s="114"/>
      <c r="AB3" s="114"/>
    </row>
    <row r="4" spans="1:35" ht="27" customHeight="1">
      <c r="A4" s="254"/>
      <c r="B4" s="254"/>
      <c r="C4" s="254"/>
      <c r="D4" s="254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54"/>
      <c r="Y4" s="254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3">
        <v>8</v>
      </c>
      <c r="J5" s="183">
        <v>8</v>
      </c>
      <c r="K5" s="183">
        <v>8</v>
      </c>
      <c r="L5" s="183">
        <v>8</v>
      </c>
      <c r="M5" s="183">
        <v>8</v>
      </c>
      <c r="N5" s="200"/>
      <c r="O5" s="200"/>
      <c r="P5" s="183">
        <v>8</v>
      </c>
      <c r="Q5" s="183">
        <v>8</v>
      </c>
      <c r="R5" s="183">
        <v>8</v>
      </c>
      <c r="S5" s="183">
        <v>8</v>
      </c>
      <c r="T5" s="183">
        <v>8</v>
      </c>
      <c r="U5" s="200"/>
      <c r="V5" s="200"/>
      <c r="W5" s="183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183">
        <v>8</v>
      </c>
      <c r="K6" s="183">
        <v>8</v>
      </c>
      <c r="L6" s="183">
        <v>8</v>
      </c>
      <c r="M6" s="183">
        <v>8</v>
      </c>
      <c r="N6" s="200"/>
      <c r="O6" s="200"/>
      <c r="P6" s="183">
        <v>8</v>
      </c>
      <c r="Q6" s="183">
        <v>8</v>
      </c>
      <c r="R6" s="183">
        <v>8</v>
      </c>
      <c r="S6" s="183">
        <v>8</v>
      </c>
      <c r="T6" s="183">
        <v>8</v>
      </c>
      <c r="U6" s="200"/>
      <c r="V6" s="200"/>
      <c r="W6" s="236"/>
      <c r="X6" s="134">
        <f t="shared" ref="X6:X14" si="6">Y6-COUNTA(I6:W6)</f>
        <v>1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183">
        <v>8</v>
      </c>
      <c r="M7" s="183">
        <v>8</v>
      </c>
      <c r="N7" s="200"/>
      <c r="O7" s="200"/>
      <c r="P7" s="183">
        <v>8</v>
      </c>
      <c r="Q7" s="183">
        <v>8</v>
      </c>
      <c r="R7" s="236"/>
      <c r="S7" s="183">
        <v>8</v>
      </c>
      <c r="T7" s="183">
        <v>8</v>
      </c>
      <c r="U7" s="200"/>
      <c r="V7" s="200"/>
      <c r="W7" s="183">
        <v>8</v>
      </c>
      <c r="X7" s="134">
        <f t="shared" si="6"/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183">
        <v>8</v>
      </c>
      <c r="L8" s="183">
        <v>8</v>
      </c>
      <c r="M8" s="183">
        <v>8</v>
      </c>
      <c r="N8" s="200"/>
      <c r="O8" s="200"/>
      <c r="P8" s="183">
        <v>8</v>
      </c>
      <c r="Q8" s="183">
        <v>8</v>
      </c>
      <c r="R8" s="183">
        <v>8</v>
      </c>
      <c r="S8" s="183">
        <v>8</v>
      </c>
      <c r="T8" s="183">
        <v>8</v>
      </c>
      <c r="U8" s="200"/>
      <c r="V8" s="200"/>
      <c r="W8" s="183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3">
        <v>8</v>
      </c>
      <c r="J9" s="183">
        <v>8</v>
      </c>
      <c r="K9" s="183">
        <v>8</v>
      </c>
      <c r="L9" s="183">
        <v>8</v>
      </c>
      <c r="M9" s="183">
        <v>8</v>
      </c>
      <c r="N9" s="200"/>
      <c r="O9" s="200"/>
      <c r="P9" s="236"/>
      <c r="Q9" s="183">
        <v>8</v>
      </c>
      <c r="R9" s="183">
        <v>8</v>
      </c>
      <c r="S9" s="183">
        <v>8</v>
      </c>
      <c r="T9" s="183">
        <v>8</v>
      </c>
      <c r="U9" s="200"/>
      <c r="V9" s="200"/>
      <c r="W9" s="183">
        <v>8</v>
      </c>
      <c r="X9" s="134">
        <f t="shared" si="6"/>
        <v>1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3">
        <v>8</v>
      </c>
      <c r="J10" s="183">
        <v>8</v>
      </c>
      <c r="K10" s="183">
        <v>8</v>
      </c>
      <c r="L10" s="183">
        <v>8</v>
      </c>
      <c r="M10" s="183">
        <v>8</v>
      </c>
      <c r="N10" s="200"/>
      <c r="O10" s="200"/>
      <c r="P10" s="183">
        <v>8</v>
      </c>
      <c r="Q10" s="183">
        <v>8</v>
      </c>
      <c r="R10" s="183">
        <v>8</v>
      </c>
      <c r="S10" s="183">
        <v>8</v>
      </c>
      <c r="T10" s="183">
        <v>8</v>
      </c>
      <c r="U10" s="200"/>
      <c r="V10" s="200"/>
      <c r="W10" s="183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0</v>
      </c>
      <c r="V15" s="224">
        <f t="shared" si="8"/>
        <v>0</v>
      </c>
      <c r="W15" s="224">
        <f t="shared" si="8"/>
        <v>40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4"/>
      <c r="G18" s="254"/>
      <c r="H18" s="254"/>
      <c r="I18" s="141">
        <f>W3+1</f>
        <v>45916</v>
      </c>
      <c r="J18" s="141">
        <f t="shared" ref="J18:W18" si="9">I18+1</f>
        <v>45917</v>
      </c>
      <c r="K18" s="141">
        <f t="shared" si="9"/>
        <v>45918</v>
      </c>
      <c r="L18" s="141">
        <f t="shared" si="9"/>
        <v>45919</v>
      </c>
      <c r="M18" s="141">
        <f t="shared" si="9"/>
        <v>45920</v>
      </c>
      <c r="N18" s="141">
        <f t="shared" si="9"/>
        <v>45921</v>
      </c>
      <c r="O18" s="141">
        <f t="shared" si="9"/>
        <v>45922</v>
      </c>
      <c r="P18" s="141">
        <f t="shared" si="9"/>
        <v>45923</v>
      </c>
      <c r="Q18" s="141">
        <f t="shared" si="9"/>
        <v>45924</v>
      </c>
      <c r="R18" s="141">
        <f t="shared" si="9"/>
        <v>45925</v>
      </c>
      <c r="S18" s="141">
        <f t="shared" si="9"/>
        <v>45926</v>
      </c>
      <c r="T18" s="141">
        <f t="shared" si="9"/>
        <v>45927</v>
      </c>
      <c r="U18" s="141">
        <f t="shared" si="9"/>
        <v>45928</v>
      </c>
      <c r="V18" s="141">
        <f t="shared" si="9"/>
        <v>45929</v>
      </c>
      <c r="W18" s="141">
        <f t="shared" si="9"/>
        <v>45930</v>
      </c>
      <c r="X18" s="141"/>
      <c r="Y18" s="253" t="s">
        <v>6</v>
      </c>
      <c r="Z18" s="253" t="s">
        <v>7</v>
      </c>
      <c r="AA18" s="209"/>
      <c r="AB18" s="114"/>
    </row>
    <row r="19" spans="1:29" ht="26.25" customHeight="1">
      <c r="A19" s="254"/>
      <c r="B19" s="254"/>
      <c r="C19" s="254"/>
      <c r="D19" s="254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 t="str">
        <f t="shared" si="10"/>
        <v>Mon</v>
      </c>
      <c r="W19" s="127" t="str">
        <f t="shared" si="10"/>
        <v>Tue</v>
      </c>
      <c r="X19" s="127" t="str">
        <f t="shared" si="10"/>
        <v/>
      </c>
      <c r="Y19" s="254"/>
      <c r="Z19" s="254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64</v>
      </c>
      <c r="G20" s="134">
        <f t="shared" ref="G20:G25" si="14">SUM(I20:X20)</f>
        <v>64</v>
      </c>
      <c r="H20" s="135">
        <v>0</v>
      </c>
      <c r="I20" s="180">
        <v>8</v>
      </c>
      <c r="J20" s="180">
        <v>8</v>
      </c>
      <c r="K20" s="180">
        <v>8</v>
      </c>
      <c r="L20" s="180">
        <v>8</v>
      </c>
      <c r="M20" s="199"/>
      <c r="N20" s="199"/>
      <c r="O20" s="180">
        <v>8</v>
      </c>
      <c r="P20" s="180">
        <v>8</v>
      </c>
      <c r="Q20" s="236"/>
      <c r="R20" s="180">
        <v>8</v>
      </c>
      <c r="S20" s="180">
        <v>8</v>
      </c>
      <c r="T20" s="199"/>
      <c r="U20" s="199"/>
      <c r="V20" s="236"/>
      <c r="W20" s="236"/>
      <c r="X20" s="180"/>
      <c r="Y20" s="134">
        <f t="shared" ref="Y20:Y25" si="15">Z20-COUNTA(I20:X20)</f>
        <v>3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99"/>
      <c r="N21" s="199"/>
      <c r="O21" s="183">
        <v>8</v>
      </c>
      <c r="P21" s="180">
        <v>8</v>
      </c>
      <c r="Q21" s="180">
        <v>8</v>
      </c>
      <c r="R21" s="183">
        <v>8</v>
      </c>
      <c r="S21" s="180">
        <v>8</v>
      </c>
      <c r="T21" s="199"/>
      <c r="U21" s="199"/>
      <c r="V21" s="183">
        <v>8</v>
      </c>
      <c r="W21" s="180">
        <v>8</v>
      </c>
      <c r="X21" s="180"/>
      <c r="Y21" s="134">
        <f t="shared" si="15"/>
        <v>0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99"/>
      <c r="N22" s="199"/>
      <c r="O22" s="180">
        <v>8</v>
      </c>
      <c r="P22" s="180">
        <v>8</v>
      </c>
      <c r="Q22" s="180">
        <v>8</v>
      </c>
      <c r="R22" s="180">
        <v>8</v>
      </c>
      <c r="S22" s="180">
        <v>8</v>
      </c>
      <c r="T22" s="199"/>
      <c r="U22" s="199"/>
      <c r="V22" s="180">
        <v>8</v>
      </c>
      <c r="W22" s="180">
        <v>8</v>
      </c>
      <c r="X22" s="180"/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99"/>
      <c r="N23" s="199"/>
      <c r="O23" s="183">
        <v>8</v>
      </c>
      <c r="P23" s="180">
        <v>8</v>
      </c>
      <c r="Q23" s="180">
        <v>8</v>
      </c>
      <c r="R23" s="183">
        <v>8</v>
      </c>
      <c r="S23" s="180">
        <v>8</v>
      </c>
      <c r="T23" s="199"/>
      <c r="U23" s="199"/>
      <c r="V23" s="236"/>
      <c r="W23" s="180">
        <v>8</v>
      </c>
      <c r="X23" s="180"/>
      <c r="Y23" s="134"/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99"/>
      <c r="N24" s="199"/>
      <c r="O24" s="180">
        <v>8</v>
      </c>
      <c r="P24" s="180">
        <v>8</v>
      </c>
      <c r="Q24" s="180">
        <v>8</v>
      </c>
      <c r="R24" s="180">
        <v>8</v>
      </c>
      <c r="S24" s="180">
        <v>8</v>
      </c>
      <c r="T24" s="199"/>
      <c r="U24" s="199"/>
      <c r="V24" s="180">
        <v>8</v>
      </c>
      <c r="W24" s="180">
        <v>8</v>
      </c>
      <c r="X24" s="180"/>
      <c r="Y24" s="134">
        <f t="shared" si="15"/>
        <v>0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236"/>
      <c r="M25" s="200"/>
      <c r="N25" s="200"/>
      <c r="O25" s="183">
        <v>8</v>
      </c>
      <c r="P25" s="183">
        <v>8</v>
      </c>
      <c r="Q25" s="183">
        <v>8</v>
      </c>
      <c r="R25" s="183">
        <v>8</v>
      </c>
      <c r="S25" s="183">
        <v>8</v>
      </c>
      <c r="T25" s="200"/>
      <c r="U25" s="200"/>
      <c r="V25" s="183">
        <v>8</v>
      </c>
      <c r="W25" s="183">
        <v>8</v>
      </c>
      <c r="X25" s="180"/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0</v>
      </c>
      <c r="N30" s="224">
        <f t="shared" si="16"/>
        <v>0</v>
      </c>
      <c r="O30" s="224">
        <f t="shared" si="16"/>
        <v>48</v>
      </c>
      <c r="P30" s="224">
        <f t="shared" si="16"/>
        <v>48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176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17"/>
        <v>176</v>
      </c>
      <c r="D35" s="155">
        <f t="shared" si="18"/>
        <v>168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168</v>
      </c>
      <c r="C36" s="154">
        <f t="shared" si="17"/>
        <v>176</v>
      </c>
      <c r="D36" s="155">
        <f t="shared" si="18"/>
        <v>168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17"/>
        <v>176</v>
      </c>
      <c r="D37" s="155">
        <f t="shared" si="18"/>
        <v>168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17"/>
        <v>176</v>
      </c>
      <c r="D38" s="218">
        <f t="shared" si="18"/>
        <v>168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404-F419-4E69-8E59-036C53CD0570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45931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4"/>
      <c r="G3" s="254"/>
      <c r="H3" s="254"/>
      <c r="I3" s="141">
        <f>C1</f>
        <v>45931</v>
      </c>
      <c r="J3" s="141">
        <f t="shared" ref="J3:W3" si="0">I3+1</f>
        <v>45932</v>
      </c>
      <c r="K3" s="141">
        <f t="shared" si="0"/>
        <v>45933</v>
      </c>
      <c r="L3" s="141">
        <f t="shared" si="0"/>
        <v>45934</v>
      </c>
      <c r="M3" s="141">
        <f t="shared" si="0"/>
        <v>45935</v>
      </c>
      <c r="N3" s="141">
        <f t="shared" si="0"/>
        <v>45936</v>
      </c>
      <c r="O3" s="141">
        <f t="shared" si="0"/>
        <v>45937</v>
      </c>
      <c r="P3" s="141">
        <f t="shared" si="0"/>
        <v>45938</v>
      </c>
      <c r="Q3" s="141">
        <f t="shared" si="0"/>
        <v>45939</v>
      </c>
      <c r="R3" s="141">
        <f t="shared" si="0"/>
        <v>45940</v>
      </c>
      <c r="S3" s="141">
        <f t="shared" si="0"/>
        <v>45941</v>
      </c>
      <c r="T3" s="141">
        <f t="shared" si="0"/>
        <v>45942</v>
      </c>
      <c r="U3" s="141">
        <f t="shared" si="0"/>
        <v>45943</v>
      </c>
      <c r="V3" s="141">
        <f t="shared" si="0"/>
        <v>45944</v>
      </c>
      <c r="W3" s="141">
        <f t="shared" si="0"/>
        <v>45945</v>
      </c>
      <c r="X3" s="253" t="s">
        <v>6</v>
      </c>
      <c r="Y3" s="253" t="s">
        <v>7</v>
      </c>
      <c r="Z3" s="209"/>
      <c r="AA3" s="114"/>
      <c r="AB3" s="114"/>
    </row>
    <row r="4" spans="1:35" ht="27" customHeight="1">
      <c r="A4" s="254"/>
      <c r="B4" s="254"/>
      <c r="C4" s="254"/>
      <c r="D4" s="254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54"/>
      <c r="Y4" s="254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64</v>
      </c>
      <c r="G5" s="134">
        <f t="shared" ref="G5:G10" si="5">SUM(I5:W5)</f>
        <v>64</v>
      </c>
      <c r="H5" s="135">
        <v>0</v>
      </c>
      <c r="I5" s="236"/>
      <c r="J5" s="235"/>
      <c r="K5" s="236"/>
      <c r="L5" s="200"/>
      <c r="M5" s="200"/>
      <c r="N5" s="183">
        <v>8</v>
      </c>
      <c r="O5" s="183">
        <v>8</v>
      </c>
      <c r="P5" s="183">
        <v>8</v>
      </c>
      <c r="Q5" s="183">
        <v>8</v>
      </c>
      <c r="R5" s="183">
        <v>8</v>
      </c>
      <c r="S5" s="200"/>
      <c r="T5" s="200"/>
      <c r="U5" s="183">
        <v>8</v>
      </c>
      <c r="V5" s="183">
        <v>8</v>
      </c>
      <c r="W5" s="183">
        <v>8</v>
      </c>
      <c r="X5" s="134">
        <f>Y5-COUNTA(I5:W5)</f>
        <v>2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235"/>
      <c r="K6" s="183">
        <v>8</v>
      </c>
      <c r="L6" s="200"/>
      <c r="M6" s="200"/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00"/>
      <c r="T6" s="200"/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6"/>
      <c r="J7" s="235"/>
      <c r="K7" s="183">
        <v>8</v>
      </c>
      <c r="L7" s="200"/>
      <c r="M7" s="200"/>
      <c r="N7" s="183">
        <v>8</v>
      </c>
      <c r="O7" s="183">
        <v>8</v>
      </c>
      <c r="P7" s="183">
        <v>8</v>
      </c>
      <c r="Q7" s="183">
        <v>8</v>
      </c>
      <c r="R7" s="183">
        <v>8</v>
      </c>
      <c r="S7" s="200"/>
      <c r="T7" s="200"/>
      <c r="U7" s="183">
        <v>8</v>
      </c>
      <c r="V7" s="183">
        <v>8</v>
      </c>
      <c r="W7" s="183">
        <v>8</v>
      </c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64</v>
      </c>
      <c r="G8" s="134">
        <f t="shared" si="5"/>
        <v>64</v>
      </c>
      <c r="H8" s="135">
        <v>0</v>
      </c>
      <c r="I8" s="236"/>
      <c r="J8" s="235"/>
      <c r="K8" s="183">
        <v>8</v>
      </c>
      <c r="L8" s="200"/>
      <c r="M8" s="200"/>
      <c r="N8" s="183">
        <v>8</v>
      </c>
      <c r="O8" s="183">
        <v>8</v>
      </c>
      <c r="P8" s="183">
        <v>8</v>
      </c>
      <c r="Q8" s="183">
        <v>8</v>
      </c>
      <c r="R8" s="236"/>
      <c r="S8" s="200"/>
      <c r="T8" s="200"/>
      <c r="U8" s="183">
        <v>8</v>
      </c>
      <c r="V8" s="183">
        <v>8</v>
      </c>
      <c r="W8" s="183">
        <v>8</v>
      </c>
      <c r="X8" s="134">
        <f t="shared" si="6"/>
        <v>2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36"/>
      <c r="J9" s="235"/>
      <c r="K9" s="236"/>
      <c r="L9" s="200"/>
      <c r="M9" s="200"/>
      <c r="N9" s="183">
        <v>8</v>
      </c>
      <c r="O9" s="183">
        <v>8</v>
      </c>
      <c r="P9" s="183">
        <v>8</v>
      </c>
      <c r="Q9" s="183">
        <v>8</v>
      </c>
      <c r="R9" s="183">
        <v>8</v>
      </c>
      <c r="S9" s="200"/>
      <c r="T9" s="200"/>
      <c r="U9" s="183">
        <v>8</v>
      </c>
      <c r="V9" s="183">
        <v>8</v>
      </c>
      <c r="W9" s="183">
        <v>8</v>
      </c>
      <c r="X9" s="134">
        <f t="shared" si="6"/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183">
        <v>8</v>
      </c>
      <c r="J10" s="235"/>
      <c r="K10" s="183">
        <v>8</v>
      </c>
      <c r="L10" s="200"/>
      <c r="M10" s="200"/>
      <c r="N10" s="183">
        <v>8</v>
      </c>
      <c r="O10" s="183">
        <v>8</v>
      </c>
      <c r="P10" s="183">
        <v>8</v>
      </c>
      <c r="Q10" s="183">
        <v>8</v>
      </c>
      <c r="R10" s="183">
        <v>8</v>
      </c>
      <c r="S10" s="200"/>
      <c r="T10" s="200"/>
      <c r="U10" s="236"/>
      <c r="V10" s="183">
        <v>8</v>
      </c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416</v>
      </c>
      <c r="G15" s="224">
        <f t="shared" si="8"/>
        <v>416</v>
      </c>
      <c r="H15" s="224">
        <f t="shared" si="8"/>
        <v>0</v>
      </c>
      <c r="I15" s="224">
        <f t="shared" si="8"/>
        <v>16</v>
      </c>
      <c r="J15" s="224">
        <f t="shared" si="8"/>
        <v>0</v>
      </c>
      <c r="K15" s="224">
        <f t="shared" si="8"/>
        <v>32</v>
      </c>
      <c r="L15" s="224">
        <f t="shared" si="8"/>
        <v>0</v>
      </c>
      <c r="M15" s="224">
        <f t="shared" si="8"/>
        <v>0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40</v>
      </c>
      <c r="S15" s="224">
        <f t="shared" si="8"/>
        <v>0</v>
      </c>
      <c r="T15" s="224">
        <f t="shared" si="8"/>
        <v>0</v>
      </c>
      <c r="U15" s="224">
        <f t="shared" si="8"/>
        <v>40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4"/>
      <c r="G18" s="254"/>
      <c r="H18" s="254"/>
      <c r="I18" s="141">
        <f>W3+1</f>
        <v>45946</v>
      </c>
      <c r="J18" s="141">
        <f t="shared" ref="J18:X18" si="9">I18+1</f>
        <v>45947</v>
      </c>
      <c r="K18" s="141">
        <f t="shared" si="9"/>
        <v>45948</v>
      </c>
      <c r="L18" s="141">
        <f t="shared" si="9"/>
        <v>45949</v>
      </c>
      <c r="M18" s="141">
        <f t="shared" si="9"/>
        <v>45950</v>
      </c>
      <c r="N18" s="141">
        <f t="shared" si="9"/>
        <v>45951</v>
      </c>
      <c r="O18" s="141">
        <f t="shared" si="9"/>
        <v>45952</v>
      </c>
      <c r="P18" s="141">
        <f t="shared" si="9"/>
        <v>45953</v>
      </c>
      <c r="Q18" s="141">
        <f t="shared" si="9"/>
        <v>45954</v>
      </c>
      <c r="R18" s="141">
        <f t="shared" si="9"/>
        <v>45955</v>
      </c>
      <c r="S18" s="141">
        <f t="shared" si="9"/>
        <v>45956</v>
      </c>
      <c r="T18" s="141">
        <f t="shared" si="9"/>
        <v>45957</v>
      </c>
      <c r="U18" s="141">
        <f t="shared" si="9"/>
        <v>45958</v>
      </c>
      <c r="V18" s="141">
        <f t="shared" si="9"/>
        <v>45959</v>
      </c>
      <c r="W18" s="141">
        <f t="shared" si="9"/>
        <v>45960</v>
      </c>
      <c r="X18" s="141">
        <f t="shared" si="9"/>
        <v>45961</v>
      </c>
      <c r="Y18" s="253" t="s">
        <v>6</v>
      </c>
      <c r="Z18" s="253" t="s">
        <v>7</v>
      </c>
      <c r="AA18" s="209"/>
      <c r="AB18" s="114"/>
    </row>
    <row r="19" spans="1:29" ht="26.25" customHeight="1">
      <c r="A19" s="254"/>
      <c r="B19" s="254"/>
      <c r="C19" s="254"/>
      <c r="D19" s="254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Thu</v>
      </c>
      <c r="J19" s="222" t="str">
        <f t="shared" si="10"/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127" t="str">
        <f t="shared" si="10"/>
        <v>Thu</v>
      </c>
      <c r="Q19" s="127" t="str">
        <f t="shared" si="10"/>
        <v>Fri</v>
      </c>
      <c r="R19" s="222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127" t="str">
        <f t="shared" si="10"/>
        <v>Thu</v>
      </c>
      <c r="X19" s="127" t="str">
        <f t="shared" si="10"/>
        <v>Fri</v>
      </c>
      <c r="Y19" s="254"/>
      <c r="Z19" s="254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0">
        <v>8</v>
      </c>
      <c r="K20" s="199"/>
      <c r="L20" s="199"/>
      <c r="M20" s="185"/>
      <c r="N20" s="186"/>
      <c r="O20" s="180">
        <v>8</v>
      </c>
      <c r="P20" s="180">
        <v>8</v>
      </c>
      <c r="Q20" s="183">
        <v>8</v>
      </c>
      <c r="R20" s="199"/>
      <c r="S20" s="199"/>
      <c r="T20" s="180">
        <v>8</v>
      </c>
      <c r="U20" s="180">
        <v>8</v>
      </c>
      <c r="V20" s="183">
        <v>8</v>
      </c>
      <c r="W20" s="183">
        <v>8</v>
      </c>
      <c r="X20" s="180">
        <v>8</v>
      </c>
      <c r="Y20" s="134">
        <f t="shared" ref="Y20:Y25" si="15">Z20-COUNTA(I20:X20)</f>
        <v>1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99"/>
      <c r="L21" s="199"/>
      <c r="M21" s="185"/>
      <c r="N21" s="186"/>
      <c r="O21" s="183">
        <v>8</v>
      </c>
      <c r="P21" s="180">
        <v>8</v>
      </c>
      <c r="Q21" s="180">
        <v>8</v>
      </c>
      <c r="R21" s="200"/>
      <c r="S21" s="199"/>
      <c r="T21" s="180">
        <v>8</v>
      </c>
      <c r="U21" s="180">
        <v>8</v>
      </c>
      <c r="V21" s="183">
        <v>8</v>
      </c>
      <c r="W21" s="180">
        <v>8</v>
      </c>
      <c r="X21" s="180">
        <v>8</v>
      </c>
      <c r="Y21" s="134">
        <f t="shared" si="15"/>
        <v>1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99"/>
      <c r="L22" s="199"/>
      <c r="M22" s="185"/>
      <c r="N22" s="180">
        <v>8</v>
      </c>
      <c r="O22" s="180">
        <v>8</v>
      </c>
      <c r="P22" s="180">
        <v>8</v>
      </c>
      <c r="Q22" s="180">
        <v>8</v>
      </c>
      <c r="R22" s="199"/>
      <c r="S22" s="199"/>
      <c r="T22" s="180">
        <v>8</v>
      </c>
      <c r="U22" s="180">
        <v>8</v>
      </c>
      <c r="V22" s="180">
        <v>8</v>
      </c>
      <c r="W22" s="180">
        <v>8</v>
      </c>
      <c r="X22" s="180">
        <v>8</v>
      </c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99"/>
      <c r="L23" s="199"/>
      <c r="M23" s="185"/>
      <c r="N23" s="186"/>
      <c r="O23" s="183">
        <v>8</v>
      </c>
      <c r="P23" s="180">
        <v>8</v>
      </c>
      <c r="Q23" s="180">
        <v>8</v>
      </c>
      <c r="R23" s="200"/>
      <c r="S23" s="199"/>
      <c r="T23" s="180">
        <v>8</v>
      </c>
      <c r="U23" s="180">
        <v>8</v>
      </c>
      <c r="V23" s="183">
        <v>8</v>
      </c>
      <c r="W23" s="180">
        <v>8</v>
      </c>
      <c r="X23" s="180">
        <v>8</v>
      </c>
      <c r="Y23" s="134">
        <f t="shared" si="15"/>
        <v>1</v>
      </c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99"/>
      <c r="L24" s="199"/>
      <c r="M24" s="185"/>
      <c r="N24" s="186"/>
      <c r="O24" s="180">
        <v>8</v>
      </c>
      <c r="P24" s="180">
        <v>8</v>
      </c>
      <c r="Q24" s="180">
        <v>8</v>
      </c>
      <c r="R24" s="199"/>
      <c r="S24" s="199"/>
      <c r="T24" s="180">
        <v>8</v>
      </c>
      <c r="U24" s="180">
        <v>8</v>
      </c>
      <c r="V24" s="180">
        <v>8</v>
      </c>
      <c r="W24" s="180">
        <v>8</v>
      </c>
      <c r="X24" s="180">
        <v>8</v>
      </c>
      <c r="Y24" s="134">
        <f t="shared" si="15"/>
        <v>1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200"/>
      <c r="L25" s="200"/>
      <c r="M25" s="235"/>
      <c r="N25" s="236"/>
      <c r="O25" s="183">
        <v>8</v>
      </c>
      <c r="P25" s="183">
        <v>8</v>
      </c>
      <c r="Q25" s="183">
        <v>8</v>
      </c>
      <c r="R25" s="200"/>
      <c r="S25" s="200"/>
      <c r="T25" s="183">
        <v>8</v>
      </c>
      <c r="U25" s="183">
        <v>8</v>
      </c>
      <c r="V25" s="183">
        <v>8</v>
      </c>
      <c r="W25" s="183">
        <v>8</v>
      </c>
      <c r="X25" s="180">
        <v>8</v>
      </c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0</v>
      </c>
      <c r="L30" s="224">
        <f t="shared" si="16"/>
        <v>0</v>
      </c>
      <c r="M30" s="224">
        <f t="shared" si="16"/>
        <v>0</v>
      </c>
      <c r="N30" s="224">
        <f t="shared" si="16"/>
        <v>8</v>
      </c>
      <c r="O30" s="224">
        <f t="shared" si="16"/>
        <v>48</v>
      </c>
      <c r="P30" s="224">
        <f t="shared" si="16"/>
        <v>48</v>
      </c>
      <c r="Q30" s="224">
        <f t="shared" si="16"/>
        <v>48</v>
      </c>
      <c r="R30" s="224">
        <f t="shared" si="16"/>
        <v>0</v>
      </c>
      <c r="S30" s="224">
        <f t="shared" si="16"/>
        <v>0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144</v>
      </c>
      <c r="C34" s="154">
        <f t="shared" ref="C34:C39" si="17">E5+E20</f>
        <v>168</v>
      </c>
      <c r="D34" s="155">
        <f t="shared" ref="D34:D39" si="18">B34</f>
        <v>144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160</v>
      </c>
      <c r="C36" s="154">
        <f t="shared" si="17"/>
        <v>168</v>
      </c>
      <c r="D36" s="155">
        <f t="shared" si="18"/>
        <v>160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144</v>
      </c>
      <c r="C37" s="154">
        <f t="shared" si="17"/>
        <v>168</v>
      </c>
      <c r="D37" s="155">
        <f t="shared" si="18"/>
        <v>144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168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0D1F-A389-4D2D-A9CB-ED6FA079D2D8}">
  <sheetPr>
    <tabColor theme="9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4"/>
      <c r="G3" s="254"/>
      <c r="H3" s="254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53" t="s">
        <v>6</v>
      </c>
      <c r="Y3" s="253" t="s">
        <v>7</v>
      </c>
      <c r="Z3" s="209"/>
      <c r="AA3" s="114"/>
      <c r="AB3" s="114"/>
    </row>
    <row r="4" spans="1:35" ht="27" customHeight="1">
      <c r="A4" s="254"/>
      <c r="B4" s="254"/>
      <c r="C4" s="254"/>
      <c r="D4" s="254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54"/>
      <c r="Y4" s="254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00"/>
      <c r="J5" s="200"/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00"/>
      <c r="Q5" s="200"/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00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00"/>
      <c r="J6" s="200"/>
      <c r="K6" s="236"/>
      <c r="L6" s="183">
        <v>8</v>
      </c>
      <c r="M6" s="183">
        <v>8</v>
      </c>
      <c r="N6" s="183">
        <v>8</v>
      </c>
      <c r="O6" s="183">
        <v>8</v>
      </c>
      <c r="P6" s="200"/>
      <c r="Q6" s="200"/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00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00"/>
      <c r="J7" s="200"/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00"/>
      <c r="Q7" s="200"/>
      <c r="R7" s="236"/>
      <c r="S7" s="183">
        <v>8</v>
      </c>
      <c r="T7" s="183">
        <v>8</v>
      </c>
      <c r="U7" s="183">
        <v>8</v>
      </c>
      <c r="V7" s="183">
        <v>8</v>
      </c>
      <c r="W7" s="200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00"/>
      <c r="J8" s="200"/>
      <c r="K8" s="183">
        <v>8</v>
      </c>
      <c r="L8" s="183">
        <v>8</v>
      </c>
      <c r="M8" s="183">
        <v>8</v>
      </c>
      <c r="N8" s="183">
        <v>8</v>
      </c>
      <c r="O8" s="183">
        <v>8</v>
      </c>
      <c r="P8" s="200"/>
      <c r="Q8" s="200"/>
      <c r="R8" s="183">
        <v>8</v>
      </c>
      <c r="S8" s="183">
        <v>8</v>
      </c>
      <c r="T8" s="183">
        <v>8</v>
      </c>
      <c r="U8" s="183">
        <v>8</v>
      </c>
      <c r="V8" s="236"/>
      <c r="W8" s="200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00"/>
      <c r="J9" s="200"/>
      <c r="K9" s="183">
        <v>8</v>
      </c>
      <c r="L9" s="183">
        <v>8</v>
      </c>
      <c r="M9" s="183">
        <v>8</v>
      </c>
      <c r="N9" s="183">
        <v>8</v>
      </c>
      <c r="O9" s="183">
        <v>8</v>
      </c>
      <c r="P9" s="200"/>
      <c r="Q9" s="200"/>
      <c r="R9" s="183">
        <v>8</v>
      </c>
      <c r="S9" s="183">
        <v>8</v>
      </c>
      <c r="T9" s="183">
        <v>8</v>
      </c>
      <c r="U9" s="183">
        <v>8</v>
      </c>
      <c r="V9" s="183">
        <v>8</v>
      </c>
      <c r="W9" s="200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00"/>
      <c r="J10" s="200"/>
      <c r="K10" s="183">
        <v>8</v>
      </c>
      <c r="L10" s="183">
        <v>8</v>
      </c>
      <c r="M10" s="183">
        <v>8</v>
      </c>
      <c r="N10" s="183">
        <v>8</v>
      </c>
      <c r="O10" s="183">
        <v>8</v>
      </c>
      <c r="P10" s="200"/>
      <c r="Q10" s="200"/>
      <c r="R10" s="183">
        <v>8</v>
      </c>
      <c r="S10" s="183">
        <v>8</v>
      </c>
      <c r="T10" s="183">
        <v>8</v>
      </c>
      <c r="U10" s="183">
        <v>8</v>
      </c>
      <c r="V10" s="236"/>
      <c r="W10" s="200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0</v>
      </c>
      <c r="J15" s="224">
        <f t="shared" si="8"/>
        <v>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0</v>
      </c>
      <c r="Q15" s="224">
        <f t="shared" si="8"/>
        <v>0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32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4"/>
      <c r="G18" s="254"/>
      <c r="H18" s="254"/>
      <c r="I18" s="141">
        <f>W3+1</f>
        <v>45977</v>
      </c>
      <c r="J18" s="141">
        <f t="shared" ref="J18:W18" si="9">I18+1</f>
        <v>45978</v>
      </c>
      <c r="K18" s="141">
        <f t="shared" si="9"/>
        <v>45979</v>
      </c>
      <c r="L18" s="141">
        <f t="shared" si="9"/>
        <v>45980</v>
      </c>
      <c r="M18" s="141">
        <f t="shared" si="9"/>
        <v>45981</v>
      </c>
      <c r="N18" s="141">
        <f t="shared" si="9"/>
        <v>45982</v>
      </c>
      <c r="O18" s="141">
        <f t="shared" si="9"/>
        <v>45983</v>
      </c>
      <c r="P18" s="141">
        <f t="shared" si="9"/>
        <v>45984</v>
      </c>
      <c r="Q18" s="141">
        <f t="shared" si="9"/>
        <v>45985</v>
      </c>
      <c r="R18" s="141">
        <f t="shared" si="9"/>
        <v>45986</v>
      </c>
      <c r="S18" s="141">
        <f t="shared" si="9"/>
        <v>45987</v>
      </c>
      <c r="T18" s="141">
        <f t="shared" si="9"/>
        <v>45988</v>
      </c>
      <c r="U18" s="141">
        <f t="shared" si="9"/>
        <v>45989</v>
      </c>
      <c r="V18" s="141">
        <f t="shared" si="9"/>
        <v>45990</v>
      </c>
      <c r="W18" s="141">
        <f t="shared" si="9"/>
        <v>45991</v>
      </c>
      <c r="X18" s="141"/>
      <c r="Y18" s="253" t="s">
        <v>6</v>
      </c>
      <c r="Z18" s="253" t="s">
        <v>7</v>
      </c>
      <c r="AA18" s="209"/>
      <c r="AB18" s="114"/>
    </row>
    <row r="19" spans="1:29" ht="26.25" customHeight="1">
      <c r="A19" s="254"/>
      <c r="B19" s="254"/>
      <c r="C19" s="254"/>
      <c r="D19" s="254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Sun</v>
      </c>
      <c r="J19" s="222" t="str">
        <f t="shared" si="10"/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222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127" t="str">
        <f t="shared" si="10"/>
        <v>Sun</v>
      </c>
      <c r="X19" s="127"/>
      <c r="Y19" s="254"/>
      <c r="Z19" s="254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3">
        <v>8</v>
      </c>
      <c r="R20" s="180">
        <v>8</v>
      </c>
      <c r="S20" s="180">
        <v>8</v>
      </c>
      <c r="T20" s="180">
        <v>8</v>
      </c>
      <c r="U20" s="180">
        <v>8</v>
      </c>
      <c r="V20" s="200"/>
      <c r="W20" s="200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00"/>
      <c r="P21" s="199"/>
      <c r="Q21" s="180">
        <v>8</v>
      </c>
      <c r="R21" s="183">
        <v>8</v>
      </c>
      <c r="S21" s="180">
        <v>8</v>
      </c>
      <c r="T21" s="180">
        <v>8</v>
      </c>
      <c r="U21" s="180">
        <v>8</v>
      </c>
      <c r="V21" s="200"/>
      <c r="W21" s="199"/>
      <c r="X21" s="180"/>
      <c r="Y21" s="134">
        <f t="shared" si="15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99"/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199"/>
      <c r="W22" s="199"/>
      <c r="X22" s="180"/>
      <c r="Y22" s="134">
        <f t="shared" si="15"/>
        <v>0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00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0"/>
      <c r="W23" s="199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199"/>
      <c r="W24" s="199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64</v>
      </c>
      <c r="G25" s="134">
        <f t="shared" si="14"/>
        <v>64</v>
      </c>
      <c r="H25" s="135">
        <v>0</v>
      </c>
      <c r="I25" s="200"/>
      <c r="J25" s="183">
        <v>8</v>
      </c>
      <c r="K25" s="183">
        <v>8</v>
      </c>
      <c r="L25" s="183">
        <v>8</v>
      </c>
      <c r="M25" s="183">
        <v>8</v>
      </c>
      <c r="N25" s="236"/>
      <c r="O25" s="200"/>
      <c r="P25" s="200"/>
      <c r="Q25" s="236"/>
      <c r="R25" s="183">
        <v>8</v>
      </c>
      <c r="S25" s="183">
        <v>8</v>
      </c>
      <c r="T25" s="183">
        <v>8</v>
      </c>
      <c r="U25" s="183">
        <v>8</v>
      </c>
      <c r="V25" s="200"/>
      <c r="W25" s="200"/>
      <c r="X25" s="180"/>
      <c r="Y25" s="134">
        <f t="shared" si="15"/>
        <v>2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464</v>
      </c>
      <c r="G30" s="224">
        <f t="shared" si="16"/>
        <v>464</v>
      </c>
      <c r="H30" s="224">
        <f t="shared" si="16"/>
        <v>0</v>
      </c>
      <c r="I30" s="224">
        <f t="shared" si="16"/>
        <v>0</v>
      </c>
      <c r="J30" s="224">
        <f t="shared" si="16"/>
        <v>48</v>
      </c>
      <c r="K30" s="224">
        <f t="shared" si="16"/>
        <v>48</v>
      </c>
      <c r="L30" s="224">
        <f t="shared" si="16"/>
        <v>48</v>
      </c>
      <c r="M30" s="224">
        <f t="shared" si="16"/>
        <v>48</v>
      </c>
      <c r="N30" s="224">
        <f t="shared" si="16"/>
        <v>40</v>
      </c>
      <c r="O30" s="224">
        <f t="shared" si="16"/>
        <v>0</v>
      </c>
      <c r="P30" s="224">
        <f t="shared" si="16"/>
        <v>0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152</v>
      </c>
      <c r="C35" s="154">
        <f t="shared" si="17"/>
        <v>160</v>
      </c>
      <c r="D35" s="155">
        <f t="shared" si="18"/>
        <v>152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160</v>
      </c>
      <c r="D36" s="155">
        <f t="shared" si="18"/>
        <v>152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160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160</v>
      </c>
      <c r="C38" s="217">
        <f t="shared" si="17"/>
        <v>160</v>
      </c>
      <c r="D38" s="218">
        <f t="shared" si="18"/>
        <v>160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A63-5768-4DEE-A5B7-D9C2CA6C161F}">
  <sheetPr>
    <tabColor theme="6" tint="0.39997558519241921"/>
  </sheetPr>
  <dimension ref="A1:AI999"/>
  <sheetViews>
    <sheetView showGridLines="0" tabSelected="1" topLeftCell="A24" workbookViewId="0">
      <pane xSplit="2" topLeftCell="C1" activePane="topRight" state="frozen"/>
      <selection pane="topRight" activeCell="E56" sqref="E56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9.1640625" style="115" customWidth="1"/>
    <col min="6" max="6" width="8.8320312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3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3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3" ht="35.25" customHeight="1" thickBo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4"/>
      <c r="G3" s="254"/>
      <c r="H3" s="254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53" t="s">
        <v>6</v>
      </c>
      <c r="Y3" s="253" t="s">
        <v>7</v>
      </c>
      <c r="Z3" s="209"/>
      <c r="AA3" s="210"/>
      <c r="AB3" s="114"/>
    </row>
    <row r="4" spans="1:33" ht="27" customHeight="1" thickBot="1">
      <c r="A4" s="254"/>
      <c r="B4" s="254"/>
      <c r="C4" s="254"/>
      <c r="D4" s="254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54"/>
      <c r="Y4" s="254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3" ht="12.75" customHeight="1">
      <c r="A5" s="131" t="s">
        <v>40</v>
      </c>
      <c r="B5" s="132" t="s">
        <v>46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45" t="s">
        <v>39</v>
      </c>
      <c r="J5" s="245" t="s">
        <v>39</v>
      </c>
      <c r="K5" s="183">
        <v>8</v>
      </c>
      <c r="L5" s="183">
        <v>8</v>
      </c>
      <c r="M5" s="183">
        <v>8</v>
      </c>
      <c r="N5" s="140">
        <v>8</v>
      </c>
      <c r="O5" s="140">
        <v>8</v>
      </c>
      <c r="P5" s="245" t="s">
        <v>39</v>
      </c>
      <c r="Q5" s="245" t="s">
        <v>39</v>
      </c>
      <c r="R5" s="207">
        <v>8</v>
      </c>
      <c r="S5" s="183">
        <v>8</v>
      </c>
      <c r="T5" s="207">
        <v>8</v>
      </c>
      <c r="U5" s="140">
        <v>8</v>
      </c>
      <c r="V5" s="140">
        <v>8</v>
      </c>
      <c r="W5" s="245" t="s">
        <v>39</v>
      </c>
      <c r="X5" s="134"/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3" ht="12.75" customHeight="1">
      <c r="A6" s="131" t="s">
        <v>41</v>
      </c>
      <c r="B6" s="132" t="s">
        <v>46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245" t="s">
        <v>39</v>
      </c>
      <c r="J6" s="245" t="s">
        <v>39</v>
      </c>
      <c r="K6" s="183">
        <v>8</v>
      </c>
      <c r="L6" s="183">
        <v>8</v>
      </c>
      <c r="M6" s="183">
        <v>8</v>
      </c>
      <c r="N6" s="140">
        <v>8</v>
      </c>
      <c r="O6" s="140">
        <v>8</v>
      </c>
      <c r="P6" s="245" t="s">
        <v>39</v>
      </c>
      <c r="Q6" s="245" t="s">
        <v>39</v>
      </c>
      <c r="R6" s="183">
        <v>8</v>
      </c>
      <c r="S6" s="183">
        <v>8</v>
      </c>
      <c r="T6" s="183">
        <v>8</v>
      </c>
      <c r="U6" s="140">
        <v>8</v>
      </c>
      <c r="V6" s="140">
        <v>8</v>
      </c>
      <c r="W6" s="245" t="s">
        <v>39</v>
      </c>
      <c r="X6" s="134"/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3" ht="12.75" customHeight="1">
      <c r="A7" s="131" t="s">
        <v>42</v>
      </c>
      <c r="B7" s="132" t="s">
        <v>46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45" t="s">
        <v>39</v>
      </c>
      <c r="J7" s="245" t="s">
        <v>39</v>
      </c>
      <c r="K7" s="183">
        <v>8</v>
      </c>
      <c r="L7" s="183">
        <v>8</v>
      </c>
      <c r="M7" s="183">
        <v>8</v>
      </c>
      <c r="N7" s="140">
        <v>8</v>
      </c>
      <c r="O7" s="140">
        <v>8</v>
      </c>
      <c r="P7" s="245" t="s">
        <v>39</v>
      </c>
      <c r="Q7" s="245" t="s">
        <v>39</v>
      </c>
      <c r="R7" s="183">
        <v>8</v>
      </c>
      <c r="S7" s="183">
        <v>8</v>
      </c>
      <c r="T7" s="236"/>
      <c r="U7" s="140">
        <v>8</v>
      </c>
      <c r="V7" s="140">
        <v>8</v>
      </c>
      <c r="W7" s="245" t="s">
        <v>39</v>
      </c>
      <c r="X7" s="134"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3" ht="12.75" customHeight="1">
      <c r="A8" s="131" t="s">
        <v>43</v>
      </c>
      <c r="B8" s="132" t="s">
        <v>46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45" t="s">
        <v>39</v>
      </c>
      <c r="J8" s="245" t="s">
        <v>39</v>
      </c>
      <c r="K8" s="243">
        <v>8</v>
      </c>
      <c r="L8" s="183">
        <v>8</v>
      </c>
      <c r="M8" s="243">
        <v>8</v>
      </c>
      <c r="N8" s="140">
        <v>8</v>
      </c>
      <c r="O8" s="140">
        <v>8</v>
      </c>
      <c r="P8" s="245" t="s">
        <v>39</v>
      </c>
      <c r="Q8" s="245" t="s">
        <v>39</v>
      </c>
      <c r="R8" s="183">
        <v>8</v>
      </c>
      <c r="S8" s="183">
        <v>8</v>
      </c>
      <c r="T8" s="183">
        <v>8</v>
      </c>
      <c r="U8" s="140">
        <v>8</v>
      </c>
      <c r="V8" s="140">
        <v>8</v>
      </c>
      <c r="W8" s="245" t="s">
        <v>39</v>
      </c>
      <c r="X8" s="134"/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3" ht="12.75" customHeight="1">
      <c r="A9" s="139" t="s">
        <v>44</v>
      </c>
      <c r="B9" s="132" t="s">
        <v>46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45" t="s">
        <v>39</v>
      </c>
      <c r="J9" s="245" t="s">
        <v>39</v>
      </c>
      <c r="K9" s="183">
        <v>8</v>
      </c>
      <c r="L9" s="241">
        <v>8</v>
      </c>
      <c r="M9" s="183">
        <v>8</v>
      </c>
      <c r="N9" s="140">
        <v>8</v>
      </c>
      <c r="O9" s="140">
        <v>8</v>
      </c>
      <c r="P9" s="245" t="s">
        <v>39</v>
      </c>
      <c r="Q9" s="245" t="s">
        <v>39</v>
      </c>
      <c r="R9" s="183">
        <v>8</v>
      </c>
      <c r="S9" s="183">
        <v>8</v>
      </c>
      <c r="T9" s="183">
        <v>8</v>
      </c>
      <c r="U9" s="140">
        <v>8</v>
      </c>
      <c r="V9" s="140">
        <v>8</v>
      </c>
      <c r="W9" s="245" t="s">
        <v>39</v>
      </c>
      <c r="X9" s="134"/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3" ht="12.75" customHeight="1">
      <c r="A10" s="139" t="s">
        <v>45</v>
      </c>
      <c r="B10" s="132" t="s">
        <v>46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245" t="s">
        <v>39</v>
      </c>
      <c r="J10" s="245" t="s">
        <v>39</v>
      </c>
      <c r="K10" s="241">
        <v>8</v>
      </c>
      <c r="L10" s="241">
        <v>8</v>
      </c>
      <c r="M10" s="241">
        <v>8</v>
      </c>
      <c r="N10" s="140">
        <v>8</v>
      </c>
      <c r="O10" s="140">
        <v>8</v>
      </c>
      <c r="P10" s="245" t="s">
        <v>39</v>
      </c>
      <c r="Q10" s="245" t="s">
        <v>39</v>
      </c>
      <c r="R10" s="241">
        <v>8</v>
      </c>
      <c r="S10" s="241">
        <v>8</v>
      </c>
      <c r="T10" s="241">
        <v>8</v>
      </c>
      <c r="U10" s="140">
        <v>8</v>
      </c>
      <c r="V10" s="140">
        <v>8</v>
      </c>
      <c r="W10" s="245" t="s">
        <v>39</v>
      </c>
      <c r="X10" s="134"/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3" ht="12.75" hidden="1" customHeight="1">
      <c r="A11" s="140"/>
      <c r="B11" s="132" t="s">
        <v>46</v>
      </c>
      <c r="C11" s="138">
        <v>45629</v>
      </c>
      <c r="D11" s="140"/>
      <c r="E11" s="140"/>
      <c r="F11" s="140"/>
      <c r="G11" s="140"/>
      <c r="H11" s="135">
        <v>0</v>
      </c>
      <c r="I11" s="245" t="s">
        <v>39</v>
      </c>
      <c r="J11" s="245" t="s">
        <v>39</v>
      </c>
      <c r="K11" s="140"/>
      <c r="L11" s="140"/>
      <c r="M11" s="140"/>
      <c r="N11" s="140"/>
      <c r="O11" s="140"/>
      <c r="P11" s="245" t="s">
        <v>39</v>
      </c>
      <c r="Q11" s="245" t="s">
        <v>39</v>
      </c>
      <c r="R11" s="140"/>
      <c r="S11" s="140"/>
      <c r="T11" s="140"/>
      <c r="U11" s="140"/>
      <c r="V11" s="140"/>
      <c r="W11" s="245" t="s">
        <v>39</v>
      </c>
      <c r="X11" s="134">
        <f t="shared" ref="X11:X14" si="6">Y11-COUNTA(I11:W11)</f>
        <v>5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3" ht="12.75" hidden="1" customHeight="1">
      <c r="A12" s="140"/>
      <c r="B12" s="132" t="s">
        <v>46</v>
      </c>
      <c r="C12" s="138">
        <v>45630</v>
      </c>
      <c r="D12" s="140"/>
      <c r="E12" s="140"/>
      <c r="F12" s="140"/>
      <c r="G12" s="140"/>
      <c r="H12" s="135">
        <v>0</v>
      </c>
      <c r="I12" s="245" t="s">
        <v>39</v>
      </c>
      <c r="J12" s="245" t="s">
        <v>39</v>
      </c>
      <c r="K12" s="140"/>
      <c r="L12" s="140"/>
      <c r="M12" s="140"/>
      <c r="N12" s="140"/>
      <c r="O12" s="140"/>
      <c r="P12" s="245" t="s">
        <v>39</v>
      </c>
      <c r="Q12" s="245" t="s">
        <v>39</v>
      </c>
      <c r="R12" s="140"/>
      <c r="S12" s="140"/>
      <c r="T12" s="140"/>
      <c r="U12" s="140"/>
      <c r="V12" s="140"/>
      <c r="W12" s="245" t="s">
        <v>39</v>
      </c>
      <c r="X12" s="134">
        <f t="shared" si="6"/>
        <v>5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3" ht="12.75" hidden="1" customHeight="1">
      <c r="A13" s="140"/>
      <c r="B13" s="132" t="s">
        <v>46</v>
      </c>
      <c r="C13" s="138">
        <v>45631</v>
      </c>
      <c r="D13" s="140"/>
      <c r="E13" s="140"/>
      <c r="F13" s="140"/>
      <c r="G13" s="140"/>
      <c r="H13" s="135">
        <v>0</v>
      </c>
      <c r="I13" s="245" t="s">
        <v>39</v>
      </c>
      <c r="J13" s="245" t="s">
        <v>39</v>
      </c>
      <c r="K13" s="140"/>
      <c r="L13" s="140"/>
      <c r="M13" s="140"/>
      <c r="N13" s="140"/>
      <c r="O13" s="140"/>
      <c r="P13" s="245" t="s">
        <v>39</v>
      </c>
      <c r="Q13" s="245" t="s">
        <v>39</v>
      </c>
      <c r="R13" s="140"/>
      <c r="S13" s="140"/>
      <c r="T13" s="140"/>
      <c r="U13" s="140"/>
      <c r="V13" s="140"/>
      <c r="W13" s="245" t="s">
        <v>39</v>
      </c>
      <c r="X13" s="134">
        <f t="shared" si="6"/>
        <v>5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3" ht="12.75" hidden="1" customHeight="1">
      <c r="A14" s="140"/>
      <c r="B14" s="132" t="s">
        <v>46</v>
      </c>
      <c r="C14" s="138">
        <v>45632</v>
      </c>
      <c r="D14" s="140"/>
      <c r="E14" s="140"/>
      <c r="F14" s="140"/>
      <c r="G14" s="140"/>
      <c r="H14" s="135">
        <v>0</v>
      </c>
      <c r="I14" s="245" t="s">
        <v>39</v>
      </c>
      <c r="J14" s="245" t="s">
        <v>39</v>
      </c>
      <c r="K14" s="140"/>
      <c r="L14" s="140"/>
      <c r="M14" s="140"/>
      <c r="N14" s="140"/>
      <c r="O14" s="140"/>
      <c r="P14" s="245" t="s">
        <v>39</v>
      </c>
      <c r="Q14" s="245" t="s">
        <v>39</v>
      </c>
      <c r="R14" s="140"/>
      <c r="S14" s="140"/>
      <c r="T14" s="140"/>
      <c r="U14" s="140"/>
      <c r="V14" s="140"/>
      <c r="W14" s="245" t="s">
        <v>39</v>
      </c>
      <c r="X14" s="134">
        <f t="shared" si="6"/>
        <v>5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3" ht="12.75" customHeight="1">
      <c r="A15" s="139" t="s">
        <v>47</v>
      </c>
      <c r="B15" s="132" t="s">
        <v>46</v>
      </c>
      <c r="C15" s="138">
        <v>45633</v>
      </c>
      <c r="D15" s="251">
        <v>80</v>
      </c>
      <c r="E15" s="251">
        <v>80</v>
      </c>
      <c r="F15" s="251">
        <v>80</v>
      </c>
      <c r="G15" s="251">
        <v>80</v>
      </c>
      <c r="H15" s="135">
        <v>0</v>
      </c>
      <c r="I15" s="245" t="s">
        <v>39</v>
      </c>
      <c r="J15" s="245" t="s">
        <v>39</v>
      </c>
      <c r="K15" s="140">
        <v>8</v>
      </c>
      <c r="L15" s="140">
        <v>8</v>
      </c>
      <c r="M15" s="140">
        <v>8</v>
      </c>
      <c r="N15" s="140">
        <v>8</v>
      </c>
      <c r="O15" s="140">
        <v>8</v>
      </c>
      <c r="P15" s="245" t="s">
        <v>39</v>
      </c>
      <c r="Q15" s="245" t="s">
        <v>39</v>
      </c>
      <c r="R15" s="140">
        <v>8</v>
      </c>
      <c r="S15" s="140">
        <v>8</v>
      </c>
      <c r="T15" s="140">
        <v>8</v>
      </c>
      <c r="U15" s="140">
        <v>8</v>
      </c>
      <c r="V15" s="140">
        <v>8</v>
      </c>
      <c r="W15" s="245" t="s">
        <v>39</v>
      </c>
      <c r="X15" s="134"/>
      <c r="Y15" s="135">
        <v>10</v>
      </c>
      <c r="Z15" s="209"/>
      <c r="AA15" s="114"/>
      <c r="AB15" s="130"/>
      <c r="AC15" s="130"/>
      <c r="AD15" s="130"/>
      <c r="AE15" s="130"/>
      <c r="AF15" s="130"/>
      <c r="AG15" s="130"/>
    </row>
    <row r="16" spans="1:33" ht="12.75" customHeight="1">
      <c r="A16" s="223"/>
      <c r="B16" s="223"/>
      <c r="C16" s="223"/>
      <c r="D16" s="224">
        <f t="shared" ref="D16:W16" si="8">SUM(D5:D14)</f>
        <v>480</v>
      </c>
      <c r="E16" s="224">
        <f t="shared" si="8"/>
        <v>480</v>
      </c>
      <c r="F16" s="224">
        <f t="shared" si="8"/>
        <v>472</v>
      </c>
      <c r="G16" s="224">
        <f t="shared" si="8"/>
        <v>472</v>
      </c>
      <c r="H16" s="224">
        <f t="shared" si="8"/>
        <v>0</v>
      </c>
      <c r="I16" s="224">
        <f t="shared" si="8"/>
        <v>0</v>
      </c>
      <c r="J16" s="224">
        <f t="shared" si="8"/>
        <v>0</v>
      </c>
      <c r="K16" s="224">
        <f t="shared" si="8"/>
        <v>48</v>
      </c>
      <c r="L16" s="224">
        <f t="shared" si="8"/>
        <v>48</v>
      </c>
      <c r="M16" s="224">
        <f t="shared" si="8"/>
        <v>48</v>
      </c>
      <c r="N16" s="224">
        <f t="shared" si="8"/>
        <v>48</v>
      </c>
      <c r="O16" s="224">
        <f t="shared" si="8"/>
        <v>48</v>
      </c>
      <c r="P16" s="224">
        <f t="shared" si="8"/>
        <v>0</v>
      </c>
      <c r="Q16" s="224">
        <f t="shared" si="8"/>
        <v>0</v>
      </c>
      <c r="R16" s="224">
        <f t="shared" si="8"/>
        <v>48</v>
      </c>
      <c r="S16" s="224">
        <f t="shared" si="8"/>
        <v>48</v>
      </c>
      <c r="T16" s="224">
        <f t="shared" si="8"/>
        <v>40</v>
      </c>
      <c r="U16" s="224">
        <f t="shared" si="8"/>
        <v>48</v>
      </c>
      <c r="V16" s="224">
        <f t="shared" si="8"/>
        <v>48</v>
      </c>
      <c r="W16" s="224">
        <f t="shared" si="8"/>
        <v>0</v>
      </c>
      <c r="X16" s="224"/>
      <c r="Y16" s="224"/>
      <c r="Z16" s="209"/>
      <c r="AA16" s="114"/>
      <c r="AB16" s="130"/>
      <c r="AC16" s="130"/>
      <c r="AD16" s="130"/>
      <c r="AE16" s="130"/>
      <c r="AF16" s="130"/>
      <c r="AG16" s="130"/>
    </row>
    <row r="17" spans="1:35" ht="15" customHeight="1">
      <c r="A17" s="209"/>
      <c r="B17" s="209"/>
      <c r="C17" s="209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120"/>
      <c r="AA17" s="114"/>
      <c r="AB17" s="114"/>
      <c r="AC17" s="114"/>
      <c r="AD17" s="130"/>
      <c r="AE17" s="130"/>
      <c r="AF17" s="130"/>
      <c r="AG17" s="130"/>
      <c r="AH17" s="130"/>
      <c r="AI17" s="130"/>
    </row>
    <row r="18" spans="1:35" ht="15" customHeight="1">
      <c r="A18" s="225" t="s">
        <v>22</v>
      </c>
      <c r="B18" s="226"/>
      <c r="C18" s="226"/>
      <c r="D18" s="209"/>
      <c r="E18" s="209"/>
      <c r="F18" s="209"/>
      <c r="G18" s="209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  <c r="Z18" s="209"/>
      <c r="AA18" s="114"/>
      <c r="AB18" s="120"/>
      <c r="AC18" s="114"/>
    </row>
    <row r="19" spans="1:35" ht="35.25" customHeight="1">
      <c r="A19" s="253" t="s">
        <v>1</v>
      </c>
      <c r="B19" s="253" t="s">
        <v>2</v>
      </c>
      <c r="C19" s="253" t="s">
        <v>3</v>
      </c>
      <c r="D19" s="253" t="s">
        <v>4</v>
      </c>
      <c r="E19" s="258" t="s">
        <v>5</v>
      </c>
      <c r="F19" s="254"/>
      <c r="G19" s="254"/>
      <c r="H19" s="254"/>
      <c r="I19" s="141">
        <f>W3+1</f>
        <v>45977</v>
      </c>
      <c r="J19" s="141">
        <f t="shared" ref="J19:U19" si="9">I19+1</f>
        <v>45978</v>
      </c>
      <c r="K19" s="141">
        <f t="shared" si="9"/>
        <v>45979</v>
      </c>
      <c r="L19" s="141">
        <f t="shared" si="9"/>
        <v>45980</v>
      </c>
      <c r="M19" s="141">
        <f t="shared" si="9"/>
        <v>45981</v>
      </c>
      <c r="N19" s="141">
        <f t="shared" si="9"/>
        <v>45982</v>
      </c>
      <c r="O19" s="141">
        <f t="shared" si="9"/>
        <v>45983</v>
      </c>
      <c r="P19" s="141">
        <f t="shared" si="9"/>
        <v>45984</v>
      </c>
      <c r="Q19" s="141">
        <f t="shared" si="9"/>
        <v>45985</v>
      </c>
      <c r="R19" s="141">
        <f t="shared" si="9"/>
        <v>45986</v>
      </c>
      <c r="S19" s="141">
        <f t="shared" si="9"/>
        <v>45987</v>
      </c>
      <c r="T19" s="141">
        <f t="shared" si="9"/>
        <v>45988</v>
      </c>
      <c r="U19" s="141">
        <f t="shared" si="9"/>
        <v>45989</v>
      </c>
      <c r="V19" s="141">
        <f>U19+1</f>
        <v>45990</v>
      </c>
      <c r="W19" s="141">
        <f>V19+1</f>
        <v>45991</v>
      </c>
      <c r="X19" s="141"/>
      <c r="Y19" s="253" t="s">
        <v>6</v>
      </c>
      <c r="Z19" s="253" t="s">
        <v>7</v>
      </c>
      <c r="AA19" s="209"/>
      <c r="AB19" s="114"/>
    </row>
    <row r="20" spans="1:35" ht="26.25" customHeight="1">
      <c r="A20" s="254"/>
      <c r="B20" s="254"/>
      <c r="C20" s="254"/>
      <c r="D20" s="254"/>
      <c r="E20" s="219" t="s">
        <v>8</v>
      </c>
      <c r="F20" s="220" t="s">
        <v>9</v>
      </c>
      <c r="G20" s="165" t="s">
        <v>10</v>
      </c>
      <c r="H20" s="165" t="s">
        <v>11</v>
      </c>
      <c r="I20" s="222" t="str">
        <f t="shared" ref="I20:U20" si="10">IF(I19="","",TEXT(WEEKDAY(I19), "ddd"))</f>
        <v>Sun</v>
      </c>
      <c r="J20" s="222" t="str">
        <f t="shared" si="10"/>
        <v>Mon</v>
      </c>
      <c r="K20" s="222" t="str">
        <f t="shared" si="10"/>
        <v>Tue</v>
      </c>
      <c r="L20" s="222" t="str">
        <f t="shared" si="10"/>
        <v>Wed</v>
      </c>
      <c r="M20" s="222" t="str">
        <f t="shared" si="10"/>
        <v>Thu</v>
      </c>
      <c r="N20" s="222" t="str">
        <f t="shared" si="10"/>
        <v>Fri</v>
      </c>
      <c r="O20" s="222" t="str">
        <f t="shared" si="10"/>
        <v>Sat</v>
      </c>
      <c r="P20" s="127" t="str">
        <f t="shared" si="10"/>
        <v>Sun</v>
      </c>
      <c r="Q20" s="127" t="str">
        <f t="shared" si="10"/>
        <v>Mon</v>
      </c>
      <c r="R20" s="222" t="str">
        <f t="shared" si="10"/>
        <v>Tue</v>
      </c>
      <c r="S20" s="222" t="str">
        <f t="shared" si="10"/>
        <v>Wed</v>
      </c>
      <c r="T20" s="222" t="str">
        <f t="shared" si="10"/>
        <v>Thu</v>
      </c>
      <c r="U20" s="222" t="str">
        <f t="shared" si="10"/>
        <v>Fri</v>
      </c>
      <c r="V20" s="222" t="str">
        <f t="shared" ref="V20:W20" si="11">IF(V19="","",TEXT(WEEKDAY(V19), "ddd"))</f>
        <v>Sat</v>
      </c>
      <c r="W20" s="127" t="str">
        <f t="shared" si="11"/>
        <v>Sun</v>
      </c>
      <c r="X20" s="222"/>
      <c r="Y20" s="254"/>
      <c r="Z20" s="254"/>
      <c r="AA20" s="209"/>
      <c r="AB20" s="114"/>
    </row>
    <row r="21" spans="1:35" ht="12.75" customHeight="1">
      <c r="A21" s="131" t="s">
        <v>40</v>
      </c>
      <c r="B21" s="132" t="s">
        <v>46</v>
      </c>
      <c r="C21" s="133">
        <v>43437</v>
      </c>
      <c r="D21" s="134">
        <f t="shared" ref="D21:D26" si="12">E21</f>
        <v>80</v>
      </c>
      <c r="E21" s="134">
        <f t="shared" ref="E21:E26" si="13">Z21*8</f>
        <v>80</v>
      </c>
      <c r="F21" s="134">
        <f t="shared" ref="F21:F26" si="14">G21+H21</f>
        <v>80</v>
      </c>
      <c r="G21" s="134">
        <f t="shared" ref="G21:G26" si="15">SUM(I21:X21)</f>
        <v>80</v>
      </c>
      <c r="H21" s="135">
        <v>0</v>
      </c>
      <c r="I21" s="245" t="s">
        <v>39</v>
      </c>
      <c r="J21" s="183">
        <v>8</v>
      </c>
      <c r="K21" s="180">
        <v>8</v>
      </c>
      <c r="L21" s="183">
        <v>8</v>
      </c>
      <c r="M21" s="140">
        <v>8</v>
      </c>
      <c r="N21" s="140">
        <v>8</v>
      </c>
      <c r="O21" s="245" t="s">
        <v>39</v>
      </c>
      <c r="P21" s="245" t="s">
        <v>39</v>
      </c>
      <c r="Q21" s="183">
        <v>8</v>
      </c>
      <c r="R21" s="207">
        <v>8</v>
      </c>
      <c r="S21" s="207">
        <v>8</v>
      </c>
      <c r="T21" s="140">
        <v>8</v>
      </c>
      <c r="U21" s="140">
        <v>8</v>
      </c>
      <c r="V21" s="245" t="s">
        <v>39</v>
      </c>
      <c r="W21" s="245" t="s">
        <v>39</v>
      </c>
      <c r="X21" s="180"/>
      <c r="Y21" s="134"/>
      <c r="Z21" s="136">
        <v>10</v>
      </c>
      <c r="AA21" s="209"/>
      <c r="AB21" s="114"/>
    </row>
    <row r="22" spans="1:35" ht="12.75" customHeight="1">
      <c r="A22" s="131" t="s">
        <v>41</v>
      </c>
      <c r="B22" s="132" t="s">
        <v>46</v>
      </c>
      <c r="C22" s="133">
        <v>45028</v>
      </c>
      <c r="D22" s="134">
        <f t="shared" si="12"/>
        <v>80</v>
      </c>
      <c r="E22" s="134">
        <f t="shared" si="13"/>
        <v>80</v>
      </c>
      <c r="F22" s="134">
        <f t="shared" si="14"/>
        <v>80</v>
      </c>
      <c r="G22" s="134">
        <f t="shared" si="15"/>
        <v>80</v>
      </c>
      <c r="H22" s="135">
        <v>0</v>
      </c>
      <c r="I22" s="245" t="s">
        <v>39</v>
      </c>
      <c r="J22" s="180">
        <v>8</v>
      </c>
      <c r="K22" s="180">
        <v>8</v>
      </c>
      <c r="L22" s="180">
        <v>8</v>
      </c>
      <c r="M22" s="140">
        <v>8</v>
      </c>
      <c r="N22" s="140">
        <v>8</v>
      </c>
      <c r="O22" s="245" t="s">
        <v>39</v>
      </c>
      <c r="P22" s="245" t="s">
        <v>39</v>
      </c>
      <c r="Q22" s="180">
        <v>8</v>
      </c>
      <c r="R22" s="207">
        <v>8</v>
      </c>
      <c r="S22" s="207">
        <v>8</v>
      </c>
      <c r="T22" s="140">
        <v>8</v>
      </c>
      <c r="U22" s="140">
        <v>8</v>
      </c>
      <c r="V22" s="245" t="s">
        <v>39</v>
      </c>
      <c r="W22" s="245" t="s">
        <v>39</v>
      </c>
      <c r="X22" s="180"/>
      <c r="Y22" s="134"/>
      <c r="Z22" s="136">
        <v>10</v>
      </c>
      <c r="AA22" s="209"/>
      <c r="AB22" s="114"/>
    </row>
    <row r="23" spans="1:35" ht="12.75" customHeight="1">
      <c r="A23" s="131" t="s">
        <v>42</v>
      </c>
      <c r="B23" s="132" t="s">
        <v>46</v>
      </c>
      <c r="C23" s="133">
        <v>43395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245" t="s">
        <v>39</v>
      </c>
      <c r="J23" s="180">
        <v>8</v>
      </c>
      <c r="K23" s="180">
        <v>8</v>
      </c>
      <c r="L23" s="180">
        <v>8</v>
      </c>
      <c r="M23" s="140">
        <v>8</v>
      </c>
      <c r="N23" s="140">
        <v>8</v>
      </c>
      <c r="O23" s="245" t="s">
        <v>39</v>
      </c>
      <c r="P23" s="245" t="s">
        <v>39</v>
      </c>
      <c r="Q23" s="180">
        <v>8</v>
      </c>
      <c r="R23" s="207">
        <v>8</v>
      </c>
      <c r="S23" s="207">
        <v>8</v>
      </c>
      <c r="T23" s="140">
        <v>8</v>
      </c>
      <c r="U23" s="140">
        <v>8</v>
      </c>
      <c r="V23" s="245" t="s">
        <v>39</v>
      </c>
      <c r="W23" s="245" t="s">
        <v>39</v>
      </c>
      <c r="X23" s="180"/>
      <c r="Y23" s="134"/>
      <c r="Z23" s="136">
        <v>10</v>
      </c>
      <c r="AA23" s="209"/>
      <c r="AB23" s="114"/>
    </row>
    <row r="24" spans="1:35" ht="12.75" customHeight="1">
      <c r="A24" s="131" t="s">
        <v>43</v>
      </c>
      <c r="B24" s="132" t="s">
        <v>46</v>
      </c>
      <c r="C24" s="138">
        <v>43741</v>
      </c>
      <c r="D24" s="134">
        <f t="shared" si="12"/>
        <v>80</v>
      </c>
      <c r="E24" s="134">
        <f t="shared" si="13"/>
        <v>80</v>
      </c>
      <c r="F24" s="134">
        <f t="shared" si="14"/>
        <v>72</v>
      </c>
      <c r="G24" s="134">
        <f t="shared" si="15"/>
        <v>72</v>
      </c>
      <c r="H24" s="135">
        <v>0</v>
      </c>
      <c r="I24" s="245" t="s">
        <v>39</v>
      </c>
      <c r="J24" s="180">
        <v>8</v>
      </c>
      <c r="K24" s="180">
        <v>8</v>
      </c>
      <c r="L24" s="180">
        <v>8</v>
      </c>
      <c r="M24" s="140">
        <v>8</v>
      </c>
      <c r="N24" s="140">
        <v>8</v>
      </c>
      <c r="O24" s="245" t="s">
        <v>39</v>
      </c>
      <c r="P24" s="245" t="s">
        <v>39</v>
      </c>
      <c r="Q24" s="180">
        <v>8</v>
      </c>
      <c r="R24" s="207">
        <v>8</v>
      </c>
      <c r="S24" s="207">
        <v>8</v>
      </c>
      <c r="T24" s="140">
        <v>8</v>
      </c>
      <c r="U24" s="236"/>
      <c r="V24" s="245" t="s">
        <v>39</v>
      </c>
      <c r="W24" s="245" t="s">
        <v>39</v>
      </c>
      <c r="X24" s="180"/>
      <c r="Y24" s="134">
        <v>1</v>
      </c>
      <c r="Z24" s="136">
        <v>10</v>
      </c>
      <c r="AA24" s="209"/>
      <c r="AB24" s="114"/>
    </row>
    <row r="25" spans="1:35" ht="12.75" customHeight="1">
      <c r="A25" s="139" t="s">
        <v>44</v>
      </c>
      <c r="B25" s="132" t="s">
        <v>46</v>
      </c>
      <c r="C25" s="138">
        <v>43731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245" t="s">
        <v>39</v>
      </c>
      <c r="J25" s="180">
        <v>8</v>
      </c>
      <c r="K25" s="180">
        <v>8</v>
      </c>
      <c r="L25" s="180">
        <v>8</v>
      </c>
      <c r="M25" s="140">
        <v>8</v>
      </c>
      <c r="N25" s="140">
        <v>8</v>
      </c>
      <c r="O25" s="245" t="s">
        <v>39</v>
      </c>
      <c r="P25" s="245" t="s">
        <v>39</v>
      </c>
      <c r="Q25" s="207">
        <v>8</v>
      </c>
      <c r="R25" s="207">
        <v>8</v>
      </c>
      <c r="S25" s="207">
        <v>8</v>
      </c>
      <c r="T25" s="140">
        <v>8</v>
      </c>
      <c r="U25" s="140">
        <v>8</v>
      </c>
      <c r="V25" s="245" t="s">
        <v>39</v>
      </c>
      <c r="W25" s="245" t="s">
        <v>39</v>
      </c>
      <c r="X25" s="180"/>
      <c r="Y25" s="134"/>
      <c r="Z25" s="136">
        <v>10</v>
      </c>
      <c r="AA25" s="209"/>
      <c r="AB25" s="114"/>
    </row>
    <row r="26" spans="1:35" ht="12.75" customHeight="1">
      <c r="A26" s="139" t="s">
        <v>45</v>
      </c>
      <c r="B26" s="132" t="s">
        <v>46</v>
      </c>
      <c r="C26" s="138">
        <v>45628</v>
      </c>
      <c r="D26" s="134">
        <f t="shared" si="12"/>
        <v>80</v>
      </c>
      <c r="E26" s="134">
        <f t="shared" si="13"/>
        <v>80</v>
      </c>
      <c r="F26" s="134">
        <f t="shared" si="14"/>
        <v>80</v>
      </c>
      <c r="G26" s="134">
        <f t="shared" si="15"/>
        <v>80</v>
      </c>
      <c r="H26" s="135">
        <v>0</v>
      </c>
      <c r="I26" s="245" t="s">
        <v>39</v>
      </c>
      <c r="J26" s="241">
        <v>8</v>
      </c>
      <c r="K26" s="241">
        <v>8</v>
      </c>
      <c r="L26" s="241">
        <v>8</v>
      </c>
      <c r="M26" s="140">
        <v>8</v>
      </c>
      <c r="N26" s="140">
        <v>8</v>
      </c>
      <c r="O26" s="245" t="s">
        <v>39</v>
      </c>
      <c r="P26" s="245" t="s">
        <v>39</v>
      </c>
      <c r="Q26" s="241">
        <v>8</v>
      </c>
      <c r="R26" s="207">
        <v>8</v>
      </c>
      <c r="S26" s="207">
        <v>8</v>
      </c>
      <c r="T26" s="140">
        <v>8</v>
      </c>
      <c r="U26" s="140">
        <v>8</v>
      </c>
      <c r="V26" s="245" t="s">
        <v>39</v>
      </c>
      <c r="W26" s="245" t="s">
        <v>39</v>
      </c>
      <c r="X26" s="180"/>
      <c r="Y26" s="134"/>
      <c r="Z26" s="136">
        <v>10</v>
      </c>
      <c r="AA26" s="209"/>
      <c r="AB26" s="114"/>
    </row>
    <row r="27" spans="1:35" ht="12.75" hidden="1" customHeight="1">
      <c r="A27" s="140"/>
      <c r="B27" s="132" t="s">
        <v>46</v>
      </c>
      <c r="C27" s="138">
        <v>45629</v>
      </c>
      <c r="D27" s="140"/>
      <c r="E27" s="140"/>
      <c r="F27" s="140"/>
      <c r="G27" s="140"/>
      <c r="H27" s="135">
        <v>0</v>
      </c>
      <c r="I27" s="245" t="s">
        <v>39</v>
      </c>
      <c r="J27" s="140"/>
      <c r="K27" s="140"/>
      <c r="L27" s="140"/>
      <c r="M27" s="140"/>
      <c r="N27" s="140"/>
      <c r="O27" s="245" t="s">
        <v>39</v>
      </c>
      <c r="P27" s="245" t="s">
        <v>39</v>
      </c>
      <c r="Q27" s="140"/>
      <c r="R27" s="140"/>
      <c r="S27" s="140"/>
      <c r="T27" s="140"/>
      <c r="U27" s="140"/>
      <c r="V27" s="245" t="s">
        <v>39</v>
      </c>
      <c r="W27" s="245" t="s">
        <v>39</v>
      </c>
      <c r="X27" s="140"/>
      <c r="Y27" s="134"/>
      <c r="Z27" s="135"/>
      <c r="AA27" s="209"/>
      <c r="AB27" s="114"/>
    </row>
    <row r="28" spans="1:35" ht="12.75" hidden="1" customHeight="1">
      <c r="A28" s="140"/>
      <c r="B28" s="132" t="s">
        <v>46</v>
      </c>
      <c r="C28" s="138">
        <v>45630</v>
      </c>
      <c r="D28" s="140"/>
      <c r="E28" s="140"/>
      <c r="F28" s="140"/>
      <c r="G28" s="140"/>
      <c r="H28" s="135">
        <v>0</v>
      </c>
      <c r="I28" s="245" t="s">
        <v>39</v>
      </c>
      <c r="J28" s="140"/>
      <c r="K28" s="140"/>
      <c r="L28" s="140"/>
      <c r="M28" s="140"/>
      <c r="N28" s="140"/>
      <c r="O28" s="245" t="s">
        <v>39</v>
      </c>
      <c r="P28" s="245" t="s">
        <v>39</v>
      </c>
      <c r="Q28" s="140"/>
      <c r="R28" s="140"/>
      <c r="S28" s="140"/>
      <c r="T28" s="140"/>
      <c r="U28" s="140"/>
      <c r="V28" s="245" t="s">
        <v>39</v>
      </c>
      <c r="W28" s="245" t="s">
        <v>39</v>
      </c>
      <c r="X28" s="140"/>
      <c r="Y28" s="134"/>
      <c r="Z28" s="135"/>
      <c r="AA28" s="209"/>
      <c r="AB28" s="114"/>
    </row>
    <row r="29" spans="1:35" ht="12.75" hidden="1" customHeight="1">
      <c r="A29" s="140"/>
      <c r="B29" s="132" t="s">
        <v>46</v>
      </c>
      <c r="C29" s="138">
        <v>45631</v>
      </c>
      <c r="D29" s="140"/>
      <c r="E29" s="140"/>
      <c r="F29" s="140"/>
      <c r="G29" s="140"/>
      <c r="H29" s="135">
        <v>0</v>
      </c>
      <c r="I29" s="245" t="s">
        <v>39</v>
      </c>
      <c r="J29" s="140"/>
      <c r="K29" s="140"/>
      <c r="L29" s="140"/>
      <c r="M29" s="140"/>
      <c r="N29" s="140"/>
      <c r="O29" s="245" t="s">
        <v>39</v>
      </c>
      <c r="P29" s="245" t="s">
        <v>39</v>
      </c>
      <c r="Q29" s="140"/>
      <c r="R29" s="140"/>
      <c r="S29" s="140"/>
      <c r="T29" s="140"/>
      <c r="U29" s="140"/>
      <c r="V29" s="245" t="s">
        <v>39</v>
      </c>
      <c r="W29" s="245" t="s">
        <v>39</v>
      </c>
      <c r="X29" s="140"/>
      <c r="Y29" s="134"/>
      <c r="Z29" s="135"/>
      <c r="AA29" s="209"/>
      <c r="AB29" s="114"/>
    </row>
    <row r="30" spans="1:35" ht="12.75" hidden="1" customHeight="1">
      <c r="A30" s="140"/>
      <c r="B30" s="132" t="s">
        <v>46</v>
      </c>
      <c r="C30" s="138">
        <v>45632</v>
      </c>
      <c r="D30" s="140"/>
      <c r="E30" s="140"/>
      <c r="F30" s="140"/>
      <c r="G30" s="140"/>
      <c r="H30" s="135">
        <v>0</v>
      </c>
      <c r="I30" s="245" t="s">
        <v>39</v>
      </c>
      <c r="J30" s="140"/>
      <c r="K30" s="140"/>
      <c r="L30" s="140"/>
      <c r="M30" s="140"/>
      <c r="N30" s="140"/>
      <c r="O30" s="245" t="s">
        <v>39</v>
      </c>
      <c r="P30" s="245" t="s">
        <v>39</v>
      </c>
      <c r="Q30" s="140"/>
      <c r="R30" s="140"/>
      <c r="S30" s="140"/>
      <c r="T30" s="140"/>
      <c r="U30" s="140"/>
      <c r="V30" s="245" t="s">
        <v>39</v>
      </c>
      <c r="W30" s="245" t="s">
        <v>39</v>
      </c>
      <c r="X30" s="140"/>
      <c r="Y30" s="134"/>
      <c r="Z30" s="135"/>
      <c r="AA30" s="209"/>
      <c r="AB30" s="114"/>
    </row>
    <row r="31" spans="1:35" ht="12.75" customHeight="1">
      <c r="A31" s="139" t="s">
        <v>47</v>
      </c>
      <c r="B31" s="132" t="s">
        <v>46</v>
      </c>
      <c r="C31" s="138">
        <v>45633</v>
      </c>
      <c r="D31" s="251">
        <v>80</v>
      </c>
      <c r="E31" s="251">
        <v>80</v>
      </c>
      <c r="F31" s="251">
        <v>72</v>
      </c>
      <c r="G31" s="251">
        <v>72</v>
      </c>
      <c r="H31" s="252">
        <v>0</v>
      </c>
      <c r="I31" s="245" t="s">
        <v>39</v>
      </c>
      <c r="J31" s="140">
        <v>8</v>
      </c>
      <c r="K31" s="140">
        <v>8</v>
      </c>
      <c r="L31" s="140">
        <v>8</v>
      </c>
      <c r="M31" s="140">
        <v>8</v>
      </c>
      <c r="N31" s="140">
        <v>8</v>
      </c>
      <c r="O31" s="245" t="s">
        <v>39</v>
      </c>
      <c r="P31" s="245" t="s">
        <v>39</v>
      </c>
      <c r="Q31" s="140">
        <v>8</v>
      </c>
      <c r="R31" s="140">
        <v>8</v>
      </c>
      <c r="S31" s="140">
        <v>8</v>
      </c>
      <c r="T31" s="140">
        <v>8</v>
      </c>
      <c r="U31" s="236"/>
      <c r="V31" s="245" t="s">
        <v>39</v>
      </c>
      <c r="W31" s="245" t="s">
        <v>39</v>
      </c>
      <c r="X31" s="140"/>
      <c r="Y31" s="134">
        <v>1</v>
      </c>
      <c r="Z31" s="135">
        <v>10</v>
      </c>
      <c r="AA31" s="209"/>
      <c r="AB31" s="114"/>
    </row>
    <row r="32" spans="1:35" ht="12.75" customHeight="1">
      <c r="A32" s="228"/>
      <c r="B32" s="228"/>
      <c r="C32" s="229"/>
      <c r="D32" s="224">
        <f t="shared" ref="D32:U32" si="16">SUM(D21:D30)</f>
        <v>480</v>
      </c>
      <c r="E32" s="224">
        <f t="shared" si="16"/>
        <v>480</v>
      </c>
      <c r="F32" s="224">
        <f t="shared" si="16"/>
        <v>472</v>
      </c>
      <c r="G32" s="224">
        <f t="shared" si="16"/>
        <v>472</v>
      </c>
      <c r="H32" s="224">
        <f t="shared" si="16"/>
        <v>0</v>
      </c>
      <c r="I32" s="224">
        <f t="shared" si="16"/>
        <v>0</v>
      </c>
      <c r="J32" s="224">
        <f t="shared" si="16"/>
        <v>48</v>
      </c>
      <c r="K32" s="224">
        <f t="shared" si="16"/>
        <v>48</v>
      </c>
      <c r="L32" s="224">
        <f t="shared" si="16"/>
        <v>48</v>
      </c>
      <c r="M32" s="224">
        <f t="shared" si="16"/>
        <v>48</v>
      </c>
      <c r="N32" s="224">
        <f t="shared" si="16"/>
        <v>48</v>
      </c>
      <c r="O32" s="224">
        <f t="shared" si="16"/>
        <v>0</v>
      </c>
      <c r="P32" s="224">
        <f t="shared" si="16"/>
        <v>0</v>
      </c>
      <c r="Q32" s="224">
        <f t="shared" si="16"/>
        <v>48</v>
      </c>
      <c r="R32" s="224">
        <f t="shared" si="16"/>
        <v>48</v>
      </c>
      <c r="S32" s="224">
        <f t="shared" si="16"/>
        <v>48</v>
      </c>
      <c r="T32" s="224">
        <f t="shared" si="16"/>
        <v>48</v>
      </c>
      <c r="U32" s="224">
        <f t="shared" si="16"/>
        <v>40</v>
      </c>
      <c r="V32" s="224"/>
      <c r="W32" s="224"/>
      <c r="X32" s="224"/>
      <c r="Y32" s="224"/>
      <c r="Z32" s="224"/>
      <c r="AA32" s="210"/>
      <c r="AB32" s="114"/>
    </row>
    <row r="33" spans="1:29" ht="12.75" customHeight="1">
      <c r="A33" s="230"/>
      <c r="B33" s="230"/>
      <c r="C33" s="231"/>
      <c r="D33" s="232"/>
      <c r="E33" s="233"/>
      <c r="F33" s="233"/>
      <c r="G33" s="233"/>
      <c r="H33" s="227"/>
      <c r="I33" s="234"/>
      <c r="J33" s="234"/>
      <c r="K33" s="234"/>
      <c r="L33" s="234"/>
      <c r="M33" s="234"/>
      <c r="N33" s="234"/>
      <c r="O33" s="210"/>
      <c r="P33" s="210"/>
      <c r="Q33" s="234"/>
      <c r="R33" s="234"/>
      <c r="S33" s="234"/>
      <c r="T33" s="234"/>
      <c r="U33" s="234"/>
      <c r="V33" s="234"/>
      <c r="W33" s="234"/>
      <c r="X33" s="234"/>
      <c r="Y33" s="210"/>
      <c r="Z33" s="210"/>
      <c r="AA33" s="114"/>
      <c r="AB33" s="114"/>
      <c r="AC33" s="114"/>
    </row>
    <row r="34" spans="1:29" ht="12.75" customHeight="1" thickBot="1">
      <c r="A34" s="209"/>
      <c r="B34" s="209"/>
      <c r="C34" s="209"/>
      <c r="D34" s="209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48"/>
      <c r="AB34" s="120"/>
      <c r="AC34" s="114"/>
    </row>
    <row r="35" spans="1:29" ht="57.75" customHeight="1">
      <c r="A35" s="149" t="s">
        <v>1</v>
      </c>
      <c r="B35" s="150" t="s">
        <v>23</v>
      </c>
      <c r="C35" s="150" t="s">
        <v>24</v>
      </c>
      <c r="D35" s="246" t="s">
        <v>25</v>
      </c>
      <c r="E35" s="246" t="s">
        <v>38</v>
      </c>
      <c r="F35" s="120"/>
      <c r="G35" s="120"/>
      <c r="H35" s="120"/>
      <c r="I35" s="120"/>
      <c r="J35" s="120"/>
      <c r="K35" s="118"/>
      <c r="L35" s="118"/>
      <c r="M35" s="118"/>
      <c r="N35" s="118"/>
      <c r="O35" s="118"/>
      <c r="P35" s="118"/>
      <c r="Q35" s="120"/>
      <c r="R35" s="120"/>
      <c r="S35" s="120"/>
      <c r="T35" s="120"/>
      <c r="U35" s="120"/>
      <c r="V35" s="120"/>
      <c r="W35" s="120"/>
      <c r="X35" s="120"/>
      <c r="Y35" s="120"/>
      <c r="Z35" s="148"/>
      <c r="AA35" s="120"/>
      <c r="AB35" s="114"/>
    </row>
    <row r="36" spans="1:29" ht="13.5" customHeight="1">
      <c r="A36" s="131" t="s">
        <v>40</v>
      </c>
      <c r="B36" s="153">
        <f>F5+F21</f>
        <v>160</v>
      </c>
      <c r="C36" s="154">
        <f t="shared" ref="C36:C46" si="17">E5+E21</f>
        <v>160</v>
      </c>
      <c r="D36" s="247">
        <f t="shared" ref="D36:D46" si="18">B36</f>
        <v>160</v>
      </c>
      <c r="E36" s="250">
        <v>29</v>
      </c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</row>
    <row r="37" spans="1:29" ht="13.5" customHeight="1">
      <c r="A37" s="131" t="s">
        <v>41</v>
      </c>
      <c r="B37" s="153">
        <f>F6+F22</f>
        <v>160</v>
      </c>
      <c r="C37" s="154">
        <f t="shared" si="17"/>
        <v>160</v>
      </c>
      <c r="D37" s="247">
        <f t="shared" si="18"/>
        <v>160</v>
      </c>
      <c r="E37" s="250">
        <v>32</v>
      </c>
      <c r="F37" s="114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48"/>
      <c r="AA37" s="120"/>
      <c r="AB37" s="114"/>
    </row>
    <row r="38" spans="1:29" ht="13.5" customHeight="1">
      <c r="A38" s="131" t="s">
        <v>42</v>
      </c>
      <c r="B38" s="153">
        <f>F7+F23</f>
        <v>152</v>
      </c>
      <c r="C38" s="154">
        <f t="shared" si="17"/>
        <v>160</v>
      </c>
      <c r="D38" s="247">
        <f t="shared" si="18"/>
        <v>152</v>
      </c>
      <c r="E38" s="250">
        <v>36</v>
      </c>
      <c r="F38" s="114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48"/>
      <c r="AA38" s="120"/>
      <c r="AB38" s="114"/>
    </row>
    <row r="39" spans="1:29" ht="13.5" customHeight="1">
      <c r="A39" s="131" t="s">
        <v>43</v>
      </c>
      <c r="B39" s="153">
        <f>F8+F24</f>
        <v>152</v>
      </c>
      <c r="C39" s="154">
        <f t="shared" si="17"/>
        <v>160</v>
      </c>
      <c r="D39" s="247">
        <f t="shared" si="18"/>
        <v>152</v>
      </c>
      <c r="E39" s="250">
        <v>23</v>
      </c>
      <c r="F39" s="114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48"/>
      <c r="AA39" s="120"/>
      <c r="AB39" s="114"/>
    </row>
    <row r="40" spans="1:29" ht="13.5" customHeight="1">
      <c r="A40" s="139" t="s">
        <v>44</v>
      </c>
      <c r="B40" s="216">
        <f>F9+F25</f>
        <v>160</v>
      </c>
      <c r="C40" s="217">
        <f t="shared" si="17"/>
        <v>160</v>
      </c>
      <c r="D40" s="248">
        <f t="shared" si="18"/>
        <v>160</v>
      </c>
      <c r="E40" s="250">
        <v>28</v>
      </c>
      <c r="F40" s="114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48"/>
      <c r="AA40" s="120"/>
      <c r="AB40" s="114"/>
    </row>
    <row r="41" spans="1:29" ht="13.5" customHeight="1" thickBot="1">
      <c r="A41" s="139" t="s">
        <v>45</v>
      </c>
      <c r="B41" s="158">
        <f>G10+G26</f>
        <v>160</v>
      </c>
      <c r="C41" s="159">
        <f t="shared" si="17"/>
        <v>160</v>
      </c>
      <c r="D41" s="249">
        <f t="shared" si="18"/>
        <v>160</v>
      </c>
      <c r="E41" s="250">
        <v>27</v>
      </c>
      <c r="F41" s="114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48"/>
      <c r="AA41" s="120"/>
      <c r="AB41" s="114"/>
    </row>
    <row r="42" spans="1:29" ht="13.5" hidden="1" customHeight="1" thickBot="1">
      <c r="A42" s="139" t="s">
        <v>45</v>
      </c>
      <c r="B42" s="158">
        <f t="shared" ref="B42:B46" si="19">G11+G27</f>
        <v>0</v>
      </c>
      <c r="C42" s="159">
        <f t="shared" si="17"/>
        <v>0</v>
      </c>
      <c r="D42" s="249">
        <f t="shared" si="18"/>
        <v>0</v>
      </c>
      <c r="E42" s="250">
        <v>27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39" t="s">
        <v>45</v>
      </c>
      <c r="B43" s="158">
        <f t="shared" si="19"/>
        <v>0</v>
      </c>
      <c r="C43" s="159">
        <f t="shared" si="17"/>
        <v>0</v>
      </c>
      <c r="D43" s="249">
        <f t="shared" si="18"/>
        <v>0</v>
      </c>
      <c r="E43" s="250">
        <v>27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3.5" hidden="1" customHeight="1">
      <c r="A44" s="139" t="s">
        <v>45</v>
      </c>
      <c r="B44" s="158">
        <f t="shared" si="19"/>
        <v>0</v>
      </c>
      <c r="C44" s="159">
        <f t="shared" si="17"/>
        <v>0</v>
      </c>
      <c r="D44" s="249">
        <f t="shared" si="18"/>
        <v>0</v>
      </c>
      <c r="E44" s="250">
        <v>27</v>
      </c>
      <c r="F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3.5" hidden="1" customHeight="1">
      <c r="A45" s="139" t="s">
        <v>45</v>
      </c>
      <c r="B45" s="158">
        <f t="shared" si="19"/>
        <v>0</v>
      </c>
      <c r="C45" s="159">
        <f t="shared" si="17"/>
        <v>0</v>
      </c>
      <c r="D45" s="249">
        <f t="shared" si="18"/>
        <v>0</v>
      </c>
      <c r="E45" s="250">
        <v>27</v>
      </c>
      <c r="F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2.75" customHeight="1" thickBot="1">
      <c r="A46" s="139" t="s">
        <v>47</v>
      </c>
      <c r="B46" s="158">
        <f t="shared" si="19"/>
        <v>152</v>
      </c>
      <c r="C46" s="159">
        <f t="shared" si="17"/>
        <v>160</v>
      </c>
      <c r="D46" s="249">
        <f t="shared" si="18"/>
        <v>152</v>
      </c>
      <c r="E46" s="250">
        <v>29</v>
      </c>
      <c r="F46" s="163"/>
      <c r="G46" s="163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 thickBot="1">
      <c r="A47" s="209"/>
      <c r="B47" s="209"/>
      <c r="C47" s="209"/>
      <c r="D47" s="120"/>
      <c r="E47" s="163"/>
      <c r="F47" s="163"/>
      <c r="G47" s="163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4.25" customHeight="1">
      <c r="A48" s="255" t="s">
        <v>0</v>
      </c>
      <c r="B48" s="256"/>
      <c r="C48" s="257"/>
      <c r="D48" s="209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64" t="s">
        <v>26</v>
      </c>
      <c r="B49" s="165" t="s">
        <v>27</v>
      </c>
      <c r="C49" s="166" t="s">
        <v>28</v>
      </c>
      <c r="D49" s="209"/>
      <c r="E49" s="120"/>
      <c r="F49" s="120"/>
      <c r="G49" s="114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67" t="s">
        <v>29</v>
      </c>
      <c r="B50" s="168">
        <v>10</v>
      </c>
      <c r="C50" s="171">
        <f>B50*8</f>
        <v>80</v>
      </c>
      <c r="D50" s="209"/>
      <c r="E50" s="120"/>
      <c r="F50" s="120"/>
      <c r="G50" s="120"/>
      <c r="H50" s="114"/>
      <c r="I50" s="169"/>
      <c r="J50" s="169"/>
      <c r="K50" s="169"/>
      <c r="L50" s="169"/>
      <c r="M50" s="169"/>
      <c r="N50" s="169"/>
      <c r="O50" s="169"/>
      <c r="P50" s="114"/>
      <c r="Q50" s="114"/>
      <c r="R50" s="114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56" t="s">
        <v>30</v>
      </c>
      <c r="B51" s="170">
        <v>0</v>
      </c>
      <c r="C51" s="171">
        <f>B51*8</f>
        <v>0</v>
      </c>
      <c r="D51" s="209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 thickBot="1">
      <c r="A52" s="157" t="s">
        <v>31</v>
      </c>
      <c r="B52" s="172">
        <f t="shared" ref="B52:C52" si="20">B50-B51</f>
        <v>10</v>
      </c>
      <c r="C52" s="173">
        <f t="shared" si="20"/>
        <v>80</v>
      </c>
      <c r="D52" s="209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2.75" customHeight="1">
      <c r="A53" s="209"/>
      <c r="B53" s="209"/>
      <c r="C53" s="209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 thickBot="1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4.25" customHeight="1">
      <c r="A55" s="255" t="s">
        <v>22</v>
      </c>
      <c r="B55" s="256"/>
      <c r="C55" s="257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64" t="s">
        <v>26</v>
      </c>
      <c r="B56" s="165" t="s">
        <v>27</v>
      </c>
      <c r="C56" s="166" t="s">
        <v>28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4" t="s">
        <v>29</v>
      </c>
      <c r="B57" s="168">
        <v>12</v>
      </c>
      <c r="C57" s="171">
        <f t="shared" ref="C57:C58" si="21">B57*8</f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74" t="s">
        <v>30</v>
      </c>
      <c r="B58" s="175">
        <v>0</v>
      </c>
      <c r="C58" s="171">
        <f t="shared" si="21"/>
        <v>0</v>
      </c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 thickBot="1">
      <c r="A59" s="176" t="s">
        <v>31</v>
      </c>
      <c r="B59" s="172">
        <f t="shared" ref="B59:C59" si="22">B57-B58</f>
        <v>12</v>
      </c>
      <c r="C59" s="173">
        <f t="shared" si="22"/>
        <v>96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 thickBo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 thickBot="1">
      <c r="A61" s="120"/>
      <c r="B61" s="177" t="s">
        <v>32</v>
      </c>
      <c r="C61" s="178">
        <f>C52+C59</f>
        <v>176</v>
      </c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79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79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48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48"/>
      <c r="AB79" s="120"/>
      <c r="AC79" s="114"/>
    </row>
    <row r="80" spans="1:29" ht="12.75" customHeight="1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20"/>
      <c r="AC80" s="114"/>
    </row>
    <row r="81" spans="1:29" ht="12.75" customHeight="1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14"/>
      <c r="AB81" s="114"/>
      <c r="AC81" s="114"/>
    </row>
    <row r="82" spans="1:29" ht="12.75" customHeight="1">
      <c r="A82" s="114"/>
      <c r="B82" s="114"/>
      <c r="C82" s="114"/>
      <c r="D82" s="114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14"/>
      <c r="AB82" s="114"/>
      <c r="AC82" s="114"/>
    </row>
    <row r="83" spans="1:29" ht="12.75" customHeight="1">
      <c r="A83" s="114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</row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  <row r="998" ht="14"/>
    <row r="999" ht="14"/>
  </sheetData>
  <mergeCells count="16">
    <mergeCell ref="Z19:Z20"/>
    <mergeCell ref="A48:C48"/>
    <mergeCell ref="A55:C55"/>
    <mergeCell ref="Y3:Y4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08DE-EA46-4CE1-BF16-FB46EAAC3A4E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S21" sqref="S21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4"/>
      <c r="G3" s="254"/>
      <c r="H3" s="254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53" t="s">
        <v>6</v>
      </c>
      <c r="Y3" s="253" t="s">
        <v>7</v>
      </c>
      <c r="Z3" s="209"/>
      <c r="AA3" s="210"/>
      <c r="AB3" s="114"/>
    </row>
    <row r="4" spans="1:35" ht="27" customHeight="1">
      <c r="A4" s="254"/>
      <c r="B4" s="254"/>
      <c r="C4" s="254"/>
      <c r="D4" s="254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54"/>
      <c r="Y4" s="254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00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00"/>
      <c r="P5" s="200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00"/>
      <c r="W5" s="200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64</v>
      </c>
      <c r="G6" s="134">
        <f t="shared" ref="G6:G10" si="5">SUM(I6:W6)</f>
        <v>64</v>
      </c>
      <c r="H6" s="135">
        <v>0</v>
      </c>
      <c r="I6" s="200"/>
      <c r="J6" s="183">
        <v>8</v>
      </c>
      <c r="K6" s="236"/>
      <c r="L6" s="183">
        <v>8</v>
      </c>
      <c r="M6" s="183">
        <v>8</v>
      </c>
      <c r="N6" s="183">
        <v>8</v>
      </c>
      <c r="O6" s="200"/>
      <c r="P6" s="200"/>
      <c r="Q6" s="183">
        <v>8</v>
      </c>
      <c r="R6" s="236"/>
      <c r="S6" s="183">
        <v>8</v>
      </c>
      <c r="T6" s="183">
        <v>8</v>
      </c>
      <c r="U6" s="183">
        <v>8</v>
      </c>
      <c r="V6" s="200"/>
      <c r="W6" s="200"/>
      <c r="X6" s="134">
        <f t="shared" ref="X6:X14" si="6">Y6-COUNTA(I6:W6)</f>
        <v>2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00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00"/>
      <c r="P7" s="200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00"/>
      <c r="W7" s="200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00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00"/>
      <c r="P8" s="200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00"/>
      <c r="W8" s="200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48</v>
      </c>
      <c r="G9" s="134">
        <f t="shared" si="5"/>
        <v>48</v>
      </c>
      <c r="H9" s="135">
        <v>0</v>
      </c>
      <c r="I9" s="200"/>
      <c r="J9" s="241">
        <v>8</v>
      </c>
      <c r="K9" s="236"/>
      <c r="L9" s="236"/>
      <c r="M9" s="236"/>
      <c r="N9" s="236"/>
      <c r="O9" s="242"/>
      <c r="P9" s="200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00"/>
      <c r="W9" s="200"/>
      <c r="X9" s="134">
        <f t="shared" si="6"/>
        <v>4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56</v>
      </c>
      <c r="G10" s="134">
        <f t="shared" si="5"/>
        <v>56</v>
      </c>
      <c r="H10" s="135">
        <v>0</v>
      </c>
      <c r="I10" s="200"/>
      <c r="J10" s="183">
        <v>8</v>
      </c>
      <c r="K10" s="244">
        <v>8</v>
      </c>
      <c r="L10" s="244">
        <v>8</v>
      </c>
      <c r="M10" s="244">
        <v>8</v>
      </c>
      <c r="N10" s="244">
        <v>8</v>
      </c>
      <c r="O10" s="200"/>
      <c r="P10" s="200"/>
      <c r="Q10" s="186"/>
      <c r="R10" s="186"/>
      <c r="S10" s="186"/>
      <c r="T10" s="183">
        <v>8</v>
      </c>
      <c r="U10" s="183">
        <v>8</v>
      </c>
      <c r="V10" s="200"/>
      <c r="W10" s="200"/>
      <c r="X10" s="134">
        <f t="shared" si="6"/>
        <v>3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408</v>
      </c>
      <c r="G15" s="224">
        <f t="shared" si="8"/>
        <v>408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32</v>
      </c>
      <c r="L15" s="224">
        <f t="shared" si="8"/>
        <v>40</v>
      </c>
      <c r="M15" s="224">
        <f t="shared" si="8"/>
        <v>40</v>
      </c>
      <c r="N15" s="224">
        <f t="shared" si="8"/>
        <v>40</v>
      </c>
      <c r="O15" s="224">
        <f t="shared" si="8"/>
        <v>0</v>
      </c>
      <c r="P15" s="224">
        <f t="shared" si="8"/>
        <v>0</v>
      </c>
      <c r="Q15" s="224">
        <f t="shared" si="8"/>
        <v>40</v>
      </c>
      <c r="R15" s="224">
        <f t="shared" si="8"/>
        <v>32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4"/>
      <c r="G18" s="254"/>
      <c r="H18" s="254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53" t="s">
        <v>6</v>
      </c>
      <c r="Z18" s="253" t="s">
        <v>7</v>
      </c>
      <c r="AA18" s="209"/>
      <c r="AB18" s="114"/>
    </row>
    <row r="19" spans="1:29" ht="26.25" customHeight="1">
      <c r="A19" s="254"/>
      <c r="B19" s="254"/>
      <c r="C19" s="254"/>
      <c r="D19" s="254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127"/>
      <c r="X19" s="127"/>
      <c r="Y19" s="254"/>
      <c r="Z19" s="254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199"/>
      <c r="O20" s="199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199"/>
      <c r="V20" s="183"/>
      <c r="W20" s="183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199"/>
      <c r="O21" s="200"/>
      <c r="P21" s="180">
        <v>8</v>
      </c>
      <c r="Q21" s="180">
        <v>8</v>
      </c>
      <c r="R21" s="183">
        <v>8</v>
      </c>
      <c r="S21" s="186"/>
      <c r="T21" s="180">
        <v>8</v>
      </c>
      <c r="U21" s="199"/>
      <c r="V21" s="183"/>
      <c r="W21" s="180"/>
      <c r="X21" s="180"/>
      <c r="Y21" s="134">
        <f t="shared" si="15"/>
        <v>1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64</v>
      </c>
      <c r="G22" s="134">
        <f t="shared" si="14"/>
        <v>64</v>
      </c>
      <c r="H22" s="135">
        <v>0</v>
      </c>
      <c r="I22" s="180">
        <v>8</v>
      </c>
      <c r="J22" s="180">
        <v>8</v>
      </c>
      <c r="K22" s="180">
        <v>8</v>
      </c>
      <c r="L22" s="186"/>
      <c r="M22" s="186"/>
      <c r="N22" s="199"/>
      <c r="O22" s="199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199"/>
      <c r="V22" s="180"/>
      <c r="W22" s="180"/>
      <c r="X22" s="180"/>
      <c r="Y22" s="134">
        <f t="shared" si="15"/>
        <v>2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199"/>
      <c r="O23" s="200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199"/>
      <c r="V23" s="183"/>
      <c r="W23" s="183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199"/>
      <c r="O24" s="199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199"/>
      <c r="V24" s="180"/>
      <c r="W24" s="180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183">
        <v>8</v>
      </c>
      <c r="M25" s="183">
        <v>8</v>
      </c>
      <c r="N25" s="200"/>
      <c r="O25" s="200"/>
      <c r="P25" s="183">
        <v>8</v>
      </c>
      <c r="Q25" s="183">
        <v>8</v>
      </c>
      <c r="R25" s="183">
        <v>8</v>
      </c>
      <c r="S25" s="183">
        <v>8</v>
      </c>
      <c r="T25" s="183">
        <v>8</v>
      </c>
      <c r="U25" s="200"/>
      <c r="V25" s="183"/>
      <c r="W25" s="183"/>
      <c r="X25" s="180"/>
      <c r="Y25" s="134">
        <f t="shared" si="15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456</v>
      </c>
      <c r="G30" s="224">
        <f t="shared" si="16"/>
        <v>456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48</v>
      </c>
      <c r="Q30" s="224">
        <f t="shared" si="16"/>
        <v>48</v>
      </c>
      <c r="R30" s="224">
        <f t="shared" si="16"/>
        <v>48</v>
      </c>
      <c r="S30" s="224">
        <f t="shared" si="16"/>
        <v>40</v>
      </c>
      <c r="T30" s="224">
        <f t="shared" si="16"/>
        <v>48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160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128</v>
      </c>
      <c r="C38" s="217">
        <f t="shared" si="17"/>
        <v>160</v>
      </c>
      <c r="D38" s="218">
        <f t="shared" si="18"/>
        <v>128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D74-3AB0-4199-B2C8-B445A75BD62D}">
  <sheetPr>
    <tabColor rgb="FFC00000"/>
  </sheetPr>
  <dimension ref="A1:AI997"/>
  <sheetViews>
    <sheetView showGridLines="0" workbookViewId="0">
      <pane xSplit="2" topLeftCell="C1" activePane="topRight" state="frozen"/>
      <selection pane="topRight" activeCell="I25" sqref="I25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4"/>
      <c r="G3" s="254"/>
      <c r="H3" s="254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53" t="s">
        <v>6</v>
      </c>
      <c r="Y3" s="253" t="s">
        <v>7</v>
      </c>
      <c r="Z3" s="209"/>
      <c r="AA3" s="210"/>
      <c r="AB3" s="114"/>
    </row>
    <row r="4" spans="1:35" ht="27" customHeight="1">
      <c r="A4" s="254"/>
      <c r="B4" s="254"/>
      <c r="C4" s="254"/>
      <c r="D4" s="254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54"/>
      <c r="Y4" s="254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35"/>
      <c r="J5" s="183">
        <v>8</v>
      </c>
      <c r="K5" s="200"/>
      <c r="L5" s="200"/>
      <c r="M5" s="183">
        <v>8</v>
      </c>
      <c r="N5" s="183">
        <v>8</v>
      </c>
      <c r="O5" s="183">
        <v>8</v>
      </c>
      <c r="P5" s="183">
        <v>8</v>
      </c>
      <c r="Q5" s="183">
        <v>8</v>
      </c>
      <c r="R5" s="200"/>
      <c r="S5" s="200"/>
      <c r="T5" s="183">
        <v>8</v>
      </c>
      <c r="U5" s="183">
        <v>8</v>
      </c>
      <c r="V5" s="183">
        <v>8</v>
      </c>
      <c r="W5" s="183">
        <v>8</v>
      </c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35"/>
      <c r="J6" s="183">
        <v>8</v>
      </c>
      <c r="K6" s="200"/>
      <c r="L6" s="200"/>
      <c r="M6" s="183">
        <v>8</v>
      </c>
      <c r="N6" s="183">
        <v>8</v>
      </c>
      <c r="O6" s="183">
        <v>8</v>
      </c>
      <c r="P6" s="183">
        <v>8</v>
      </c>
      <c r="Q6" s="183">
        <v>8</v>
      </c>
      <c r="R6" s="200"/>
      <c r="S6" s="200"/>
      <c r="T6" s="183">
        <v>8</v>
      </c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5"/>
      <c r="J7" s="183">
        <v>8</v>
      </c>
      <c r="K7" s="200"/>
      <c r="L7" s="200"/>
      <c r="M7" s="183">
        <v>8</v>
      </c>
      <c r="N7" s="183">
        <v>8</v>
      </c>
      <c r="O7" s="183">
        <v>8</v>
      </c>
      <c r="P7" s="183">
        <v>8</v>
      </c>
      <c r="Q7" s="183">
        <v>8</v>
      </c>
      <c r="R7" s="200"/>
      <c r="S7" s="200"/>
      <c r="T7" s="183">
        <v>8</v>
      </c>
      <c r="U7" s="183">
        <v>8</v>
      </c>
      <c r="V7" s="183">
        <v>8</v>
      </c>
      <c r="W7" s="236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35"/>
      <c r="J8" s="183">
        <v>8</v>
      </c>
      <c r="K8" s="200"/>
      <c r="L8" s="200"/>
      <c r="M8" s="183">
        <v>8</v>
      </c>
      <c r="N8" s="183">
        <v>8</v>
      </c>
      <c r="O8" s="183">
        <v>8</v>
      </c>
      <c r="P8" s="183">
        <v>8</v>
      </c>
      <c r="Q8" s="183">
        <v>8</v>
      </c>
      <c r="R8" s="200"/>
      <c r="S8" s="200"/>
      <c r="T8" s="183">
        <v>8</v>
      </c>
      <c r="U8" s="183">
        <v>8</v>
      </c>
      <c r="V8" s="183">
        <v>8</v>
      </c>
      <c r="W8" s="183">
        <v>8</v>
      </c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35"/>
      <c r="J9" s="183">
        <v>8</v>
      </c>
      <c r="K9" s="200"/>
      <c r="L9" s="200"/>
      <c r="M9" s="183">
        <v>8</v>
      </c>
      <c r="N9" s="183">
        <v>8</v>
      </c>
      <c r="O9" s="183">
        <v>8</v>
      </c>
      <c r="P9" s="183">
        <v>8</v>
      </c>
      <c r="Q9" s="183">
        <v>8</v>
      </c>
      <c r="R9" s="200"/>
      <c r="S9" s="200"/>
      <c r="T9" s="183">
        <v>8</v>
      </c>
      <c r="U9" s="183">
        <v>8</v>
      </c>
      <c r="V9" s="183">
        <v>8</v>
      </c>
      <c r="W9" s="236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5"/>
      <c r="J10" s="183">
        <v>8</v>
      </c>
      <c r="K10" s="200"/>
      <c r="L10" s="200"/>
      <c r="M10" s="183">
        <v>8</v>
      </c>
      <c r="N10" s="183">
        <v>8</v>
      </c>
      <c r="O10" s="183">
        <v>8</v>
      </c>
      <c r="P10" s="183">
        <v>8</v>
      </c>
      <c r="Q10" s="183">
        <v>8</v>
      </c>
      <c r="R10" s="200"/>
      <c r="S10" s="200"/>
      <c r="T10" s="183">
        <v>8</v>
      </c>
      <c r="U10" s="183">
        <v>8</v>
      </c>
      <c r="V10" s="236"/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40</v>
      </c>
      <c r="W15" s="224">
        <f t="shared" si="8"/>
        <v>32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4"/>
      <c r="G18" s="254"/>
      <c r="H18" s="254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53" t="s">
        <v>6</v>
      </c>
      <c r="Z18" s="253" t="s">
        <v>7</v>
      </c>
      <c r="AA18" s="209"/>
      <c r="AB18" s="114"/>
    </row>
    <row r="19" spans="1:29" ht="26.25" customHeight="1">
      <c r="A19" s="254"/>
      <c r="B19" s="254"/>
      <c r="C19" s="254"/>
      <c r="D19" s="254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127" t="str">
        <f t="shared" si="10"/>
        <v>Fri</v>
      </c>
      <c r="X19" s="127" t="str">
        <f t="shared" ref="X19" si="11">IF(X18="","",TEXT(WEEKDAY(X18), "ddd"))</f>
        <v>Sat</v>
      </c>
      <c r="Y19" s="254"/>
      <c r="Z19" s="254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2">E20</f>
        <v>80</v>
      </c>
      <c r="E20" s="134">
        <f t="shared" ref="E20:E25" si="13">Z20*8</f>
        <v>80</v>
      </c>
      <c r="F20" s="134">
        <f t="shared" ref="F20:F25" si="14">G20+H20</f>
        <v>80</v>
      </c>
      <c r="G20" s="134">
        <f t="shared" ref="G20:G25" si="15">SUM(I20:X20)</f>
        <v>80</v>
      </c>
      <c r="H20" s="135">
        <v>0</v>
      </c>
      <c r="I20" s="180">
        <v>8</v>
      </c>
      <c r="J20" s="200"/>
      <c r="K20" s="199"/>
      <c r="L20" s="180">
        <v>8</v>
      </c>
      <c r="M20" s="180">
        <v>8</v>
      </c>
      <c r="N20" s="180">
        <v>8</v>
      </c>
      <c r="O20" s="180">
        <v>8</v>
      </c>
      <c r="P20" s="180">
        <v>8</v>
      </c>
      <c r="Q20" s="200"/>
      <c r="R20" s="199"/>
      <c r="S20" s="235"/>
      <c r="T20" s="180">
        <v>8</v>
      </c>
      <c r="U20" s="180">
        <v>8</v>
      </c>
      <c r="V20" s="183">
        <v>8</v>
      </c>
      <c r="W20" s="183">
        <v>8</v>
      </c>
      <c r="X20" s="199"/>
      <c r="Y20" s="134">
        <f t="shared" ref="Y20:Y25" si="16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2"/>
        <v>80</v>
      </c>
      <c r="E21" s="134">
        <f t="shared" si="13"/>
        <v>80</v>
      </c>
      <c r="F21" s="134">
        <f t="shared" si="14"/>
        <v>80</v>
      </c>
      <c r="G21" s="134">
        <f t="shared" si="15"/>
        <v>80</v>
      </c>
      <c r="H21" s="135">
        <v>0</v>
      </c>
      <c r="I21" s="180">
        <v>8</v>
      </c>
      <c r="J21" s="199"/>
      <c r="K21" s="199"/>
      <c r="L21" s="180">
        <v>8</v>
      </c>
      <c r="M21" s="180">
        <v>8</v>
      </c>
      <c r="N21" s="180">
        <v>8</v>
      </c>
      <c r="O21" s="183">
        <v>8</v>
      </c>
      <c r="P21" s="180">
        <v>8</v>
      </c>
      <c r="Q21" s="199"/>
      <c r="R21" s="200"/>
      <c r="S21" s="185"/>
      <c r="T21" s="180">
        <v>8</v>
      </c>
      <c r="U21" s="180">
        <v>8</v>
      </c>
      <c r="V21" s="183">
        <v>8</v>
      </c>
      <c r="W21" s="180">
        <v>8</v>
      </c>
      <c r="X21" s="199"/>
      <c r="Y21" s="134">
        <f t="shared" si="16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2"/>
        <v>80</v>
      </c>
      <c r="E22" s="134">
        <f t="shared" si="13"/>
        <v>80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99"/>
      <c r="K22" s="199"/>
      <c r="L22" s="180">
        <v>8</v>
      </c>
      <c r="M22" s="180">
        <v>8</v>
      </c>
      <c r="N22" s="186"/>
      <c r="O22" s="180">
        <v>8</v>
      </c>
      <c r="P22" s="180">
        <v>8</v>
      </c>
      <c r="Q22" s="199"/>
      <c r="R22" s="199"/>
      <c r="S22" s="185"/>
      <c r="T22" s="180">
        <v>8</v>
      </c>
      <c r="U22" s="180">
        <v>8</v>
      </c>
      <c r="V22" s="180">
        <v>8</v>
      </c>
      <c r="W22" s="180">
        <v>8</v>
      </c>
      <c r="X22" s="199"/>
      <c r="Y22" s="134">
        <f t="shared" si="16"/>
        <v>1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99"/>
      <c r="K23" s="199"/>
      <c r="L23" s="180">
        <v>8</v>
      </c>
      <c r="M23" s="180">
        <v>8</v>
      </c>
      <c r="N23" s="180">
        <v>8</v>
      </c>
      <c r="O23" s="183">
        <v>8</v>
      </c>
      <c r="P23" s="183">
        <v>8</v>
      </c>
      <c r="Q23" s="199"/>
      <c r="R23" s="200"/>
      <c r="S23" s="185"/>
      <c r="T23" s="180">
        <v>8</v>
      </c>
      <c r="U23" s="180">
        <v>8</v>
      </c>
      <c r="V23" s="183">
        <v>8</v>
      </c>
      <c r="W23" s="183">
        <v>8</v>
      </c>
      <c r="X23" s="199"/>
      <c r="Y23" s="134">
        <f t="shared" si="16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2"/>
        <v>80</v>
      </c>
      <c r="E24" s="134">
        <f t="shared" si="13"/>
        <v>80</v>
      </c>
      <c r="F24" s="134">
        <f t="shared" si="14"/>
        <v>80</v>
      </c>
      <c r="G24" s="134">
        <f t="shared" si="15"/>
        <v>80</v>
      </c>
      <c r="H24" s="135">
        <v>0</v>
      </c>
      <c r="I24" s="180">
        <v>8</v>
      </c>
      <c r="J24" s="199"/>
      <c r="K24" s="199"/>
      <c r="L24" s="180">
        <v>8</v>
      </c>
      <c r="M24" s="180">
        <v>8</v>
      </c>
      <c r="N24" s="180">
        <v>8</v>
      </c>
      <c r="O24" s="180">
        <v>8</v>
      </c>
      <c r="P24" s="183">
        <v>8</v>
      </c>
      <c r="Q24" s="199"/>
      <c r="R24" s="199"/>
      <c r="S24" s="185"/>
      <c r="T24" s="180">
        <v>8</v>
      </c>
      <c r="U24" s="180">
        <v>8</v>
      </c>
      <c r="V24" s="180">
        <v>8</v>
      </c>
      <c r="W24" s="180">
        <v>8</v>
      </c>
      <c r="X24" s="199"/>
      <c r="Y24" s="134">
        <f t="shared" si="16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183">
        <v>8</v>
      </c>
      <c r="J25" s="200"/>
      <c r="K25" s="200"/>
      <c r="L25" s="183">
        <v>8</v>
      </c>
      <c r="M25" s="183">
        <v>8</v>
      </c>
      <c r="N25" s="183">
        <v>8</v>
      </c>
      <c r="O25" s="183">
        <v>8</v>
      </c>
      <c r="P25" s="183">
        <v>8</v>
      </c>
      <c r="Q25" s="200"/>
      <c r="R25" s="200"/>
      <c r="S25" s="235"/>
      <c r="T25" s="183">
        <v>8</v>
      </c>
      <c r="U25" s="183">
        <v>8</v>
      </c>
      <c r="V25" s="183">
        <v>8</v>
      </c>
      <c r="W25" s="183">
        <v>8</v>
      </c>
      <c r="X25" s="199"/>
      <c r="Y25" s="134">
        <f t="shared" si="16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7">SUM(D20:D29)</f>
        <v>480</v>
      </c>
      <c r="E30" s="224">
        <f t="shared" si="17"/>
        <v>480</v>
      </c>
      <c r="F30" s="224">
        <f t="shared" si="17"/>
        <v>472</v>
      </c>
      <c r="G30" s="224">
        <f t="shared" si="17"/>
        <v>472</v>
      </c>
      <c r="H30" s="224">
        <f t="shared" si="17"/>
        <v>0</v>
      </c>
      <c r="I30" s="224">
        <f t="shared" si="17"/>
        <v>48</v>
      </c>
      <c r="J30" s="224">
        <f t="shared" si="17"/>
        <v>0</v>
      </c>
      <c r="K30" s="224">
        <f t="shared" si="17"/>
        <v>0</v>
      </c>
      <c r="L30" s="224">
        <f t="shared" si="17"/>
        <v>48</v>
      </c>
      <c r="M30" s="224">
        <f t="shared" si="17"/>
        <v>48</v>
      </c>
      <c r="N30" s="224">
        <f t="shared" si="17"/>
        <v>40</v>
      </c>
      <c r="O30" s="224">
        <f t="shared" si="17"/>
        <v>48</v>
      </c>
      <c r="P30" s="224">
        <f t="shared" si="17"/>
        <v>48</v>
      </c>
      <c r="Q30" s="224">
        <f t="shared" si="17"/>
        <v>0</v>
      </c>
      <c r="R30" s="224">
        <f t="shared" si="17"/>
        <v>0</v>
      </c>
      <c r="S30" s="224">
        <f t="shared" si="17"/>
        <v>0</v>
      </c>
      <c r="T30" s="224">
        <f t="shared" si="17"/>
        <v>48</v>
      </c>
      <c r="U30" s="224">
        <f t="shared" si="17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8">E5+E20</f>
        <v>160</v>
      </c>
      <c r="D34" s="155">
        <f t="shared" ref="D34:D39" si="19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8"/>
        <v>160</v>
      </c>
      <c r="D35" s="155">
        <f t="shared" si="19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8"/>
        <v>160</v>
      </c>
      <c r="D36" s="155">
        <f t="shared" si="19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8"/>
        <v>160</v>
      </c>
      <c r="D37" s="155">
        <f t="shared" si="19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152</v>
      </c>
      <c r="C38" s="217">
        <f t="shared" si="18"/>
        <v>160</v>
      </c>
      <c r="D38" s="218">
        <f t="shared" si="19"/>
        <v>152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8"/>
        <v>160</v>
      </c>
      <c r="D39" s="160">
        <f t="shared" si="19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0">B40</f>
        <v>0</v>
      </c>
      <c r="D40" s="214">
        <f t="shared" si="20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0"/>
        <v>0</v>
      </c>
      <c r="D41" s="155">
        <f t="shared" si="20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0"/>
        <v>0</v>
      </c>
      <c r="D42" s="155">
        <f t="shared" si="20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0"/>
        <v>0</v>
      </c>
      <c r="D43" s="160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1">B48-B49</f>
        <v>10</v>
      </c>
      <c r="C50" s="173">
        <f t="shared" si="21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2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2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3">B55-B56</f>
        <v>10</v>
      </c>
      <c r="C57" s="173">
        <f t="shared" si="23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B218-1A06-40AD-9A33-F81AE8D4F364}">
  <sheetPr>
    <tabColor theme="5" tint="-0.249977111117893"/>
  </sheetPr>
  <dimension ref="A1:AI997"/>
  <sheetViews>
    <sheetView showGridLines="0" workbookViewId="0">
      <pane xSplit="2" topLeftCell="C1" activePane="topRight" state="frozen"/>
      <selection pane="topRight" activeCell="W20" sqref="W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4" width="7.1640625" style="115" customWidth="1"/>
    <col min="15" max="15" width="7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45870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4"/>
      <c r="G3" s="254"/>
      <c r="H3" s="254"/>
      <c r="I3" s="141">
        <f>C1</f>
        <v>45870</v>
      </c>
      <c r="J3" s="141">
        <f t="shared" ref="J3:W3" si="0">I3+1</f>
        <v>45871</v>
      </c>
      <c r="K3" s="141">
        <f t="shared" si="0"/>
        <v>45872</v>
      </c>
      <c r="L3" s="141">
        <f t="shared" si="0"/>
        <v>45873</v>
      </c>
      <c r="M3" s="141">
        <f t="shared" si="0"/>
        <v>45874</v>
      </c>
      <c r="N3" s="141">
        <f t="shared" si="0"/>
        <v>45875</v>
      </c>
      <c r="O3" s="141">
        <f t="shared" si="0"/>
        <v>45876</v>
      </c>
      <c r="P3" s="141">
        <f t="shared" si="0"/>
        <v>45877</v>
      </c>
      <c r="Q3" s="141">
        <f t="shared" si="0"/>
        <v>45878</v>
      </c>
      <c r="R3" s="141">
        <f t="shared" si="0"/>
        <v>45879</v>
      </c>
      <c r="S3" s="141">
        <f t="shared" si="0"/>
        <v>45880</v>
      </c>
      <c r="T3" s="141">
        <f t="shared" si="0"/>
        <v>45881</v>
      </c>
      <c r="U3" s="141">
        <f t="shared" si="0"/>
        <v>45882</v>
      </c>
      <c r="V3" s="141">
        <f t="shared" si="0"/>
        <v>45883</v>
      </c>
      <c r="W3" s="141">
        <f t="shared" si="0"/>
        <v>45884</v>
      </c>
      <c r="X3" s="253" t="s">
        <v>6</v>
      </c>
      <c r="Y3" s="253" t="s">
        <v>7</v>
      </c>
      <c r="Z3" s="209"/>
      <c r="AA3" s="114"/>
      <c r="AB3" s="114"/>
    </row>
    <row r="4" spans="1:35" ht="27" customHeight="1">
      <c r="A4" s="254"/>
      <c r="B4" s="254"/>
      <c r="C4" s="254"/>
      <c r="D4" s="254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Fri</v>
      </c>
      <c r="J4" s="127" t="str">
        <f t="shared" si="1"/>
        <v>Sat</v>
      </c>
      <c r="K4" s="127" t="str">
        <f t="shared" si="1"/>
        <v>Sun</v>
      </c>
      <c r="L4" s="222" t="str">
        <f t="shared" si="1"/>
        <v>Mon</v>
      </c>
      <c r="M4" s="222" t="str">
        <f t="shared" si="1"/>
        <v>Tue</v>
      </c>
      <c r="N4" s="221" t="str">
        <f t="shared" si="1"/>
        <v>Wed</v>
      </c>
      <c r="O4" s="221" t="str">
        <f t="shared" si="1"/>
        <v>Thu</v>
      </c>
      <c r="P4" s="222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54"/>
      <c r="Y4" s="254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83">
        <v>8</v>
      </c>
      <c r="J5" s="200"/>
      <c r="K5" s="200"/>
      <c r="L5" s="183">
        <v>8</v>
      </c>
      <c r="M5" s="183">
        <v>8</v>
      </c>
      <c r="N5" s="183">
        <v>8</v>
      </c>
      <c r="O5" s="183">
        <v>8</v>
      </c>
      <c r="P5" s="183">
        <v>8</v>
      </c>
      <c r="Q5" s="200"/>
      <c r="R5" s="200"/>
      <c r="S5" s="183">
        <v>8</v>
      </c>
      <c r="T5" s="183">
        <v>8</v>
      </c>
      <c r="U5" s="183">
        <v>8</v>
      </c>
      <c r="V5" s="183">
        <v>8</v>
      </c>
      <c r="W5" s="235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183">
        <v>8</v>
      </c>
      <c r="J6" s="200"/>
      <c r="K6" s="200"/>
      <c r="L6" s="183">
        <v>8</v>
      </c>
      <c r="M6" s="183">
        <v>8</v>
      </c>
      <c r="N6" s="183">
        <v>8</v>
      </c>
      <c r="O6" s="183">
        <v>8</v>
      </c>
      <c r="P6" s="236"/>
      <c r="Q6" s="200"/>
      <c r="R6" s="200"/>
      <c r="S6" s="183">
        <v>8</v>
      </c>
      <c r="T6" s="183">
        <v>8</v>
      </c>
      <c r="U6" s="183">
        <v>8</v>
      </c>
      <c r="V6" s="183">
        <v>8</v>
      </c>
      <c r="W6" s="235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83">
        <v>8</v>
      </c>
      <c r="J7" s="200"/>
      <c r="K7" s="200"/>
      <c r="L7" s="183">
        <v>8</v>
      </c>
      <c r="M7" s="183">
        <v>8</v>
      </c>
      <c r="N7" s="183">
        <v>8</v>
      </c>
      <c r="O7" s="183">
        <v>8</v>
      </c>
      <c r="P7" s="183">
        <v>8</v>
      </c>
      <c r="Q7" s="200"/>
      <c r="R7" s="200"/>
      <c r="S7" s="183">
        <v>8</v>
      </c>
      <c r="T7" s="183">
        <v>8</v>
      </c>
      <c r="U7" s="236"/>
      <c r="V7" s="183">
        <v>8</v>
      </c>
      <c r="W7" s="235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83">
        <v>8</v>
      </c>
      <c r="J8" s="200"/>
      <c r="K8" s="200"/>
      <c r="L8" s="183">
        <v>8</v>
      </c>
      <c r="M8" s="183">
        <v>8</v>
      </c>
      <c r="N8" s="183">
        <v>8</v>
      </c>
      <c r="O8" s="183">
        <v>8</v>
      </c>
      <c r="P8" s="183">
        <v>8</v>
      </c>
      <c r="Q8" s="200"/>
      <c r="R8" s="200"/>
      <c r="S8" s="183">
        <v>8</v>
      </c>
      <c r="T8" s="183">
        <v>8</v>
      </c>
      <c r="U8" s="183">
        <v>8</v>
      </c>
      <c r="V8" s="183">
        <v>8</v>
      </c>
      <c r="W8" s="23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183">
        <v>8</v>
      </c>
      <c r="J9" s="200"/>
      <c r="K9" s="200"/>
      <c r="L9" s="183">
        <v>8</v>
      </c>
      <c r="M9" s="183">
        <v>8</v>
      </c>
      <c r="N9" s="183">
        <v>8</v>
      </c>
      <c r="O9" s="183">
        <v>8</v>
      </c>
      <c r="P9" s="236"/>
      <c r="Q9" s="200"/>
      <c r="R9" s="200"/>
      <c r="S9" s="183">
        <v>8</v>
      </c>
      <c r="T9" s="183">
        <v>8</v>
      </c>
      <c r="U9" s="183">
        <v>8</v>
      </c>
      <c r="V9" s="183">
        <v>8</v>
      </c>
      <c r="W9" s="23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6"/>
      <c r="J10" s="200"/>
      <c r="K10" s="200"/>
      <c r="L10" s="183">
        <v>8</v>
      </c>
      <c r="M10" s="183">
        <v>8</v>
      </c>
      <c r="N10" s="183">
        <v>8</v>
      </c>
      <c r="O10" s="183">
        <v>8</v>
      </c>
      <c r="P10" s="183">
        <v>8</v>
      </c>
      <c r="Q10" s="200"/>
      <c r="R10" s="200"/>
      <c r="S10" s="183">
        <v>8</v>
      </c>
      <c r="T10" s="183">
        <v>8</v>
      </c>
      <c r="U10" s="183">
        <v>8</v>
      </c>
      <c r="V10" s="183">
        <v>8</v>
      </c>
      <c r="W10" s="235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40</v>
      </c>
      <c r="J15" s="224">
        <f t="shared" si="8"/>
        <v>0</v>
      </c>
      <c r="K15" s="224">
        <f t="shared" si="8"/>
        <v>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32</v>
      </c>
      <c r="Q15" s="224">
        <f t="shared" si="8"/>
        <v>0</v>
      </c>
      <c r="R15" s="224">
        <f t="shared" si="8"/>
        <v>0</v>
      </c>
      <c r="S15" s="224">
        <f t="shared" si="8"/>
        <v>48</v>
      </c>
      <c r="T15" s="224">
        <f t="shared" si="8"/>
        <v>48</v>
      </c>
      <c r="U15" s="224">
        <f t="shared" si="8"/>
        <v>40</v>
      </c>
      <c r="V15" s="224">
        <f t="shared" si="8"/>
        <v>48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4"/>
      <c r="G18" s="254"/>
      <c r="H18" s="254"/>
      <c r="I18" s="141">
        <f>W3+1</f>
        <v>45885</v>
      </c>
      <c r="J18" s="141">
        <f t="shared" ref="J18:X18" si="9">I18+1</f>
        <v>45886</v>
      </c>
      <c r="K18" s="141">
        <f t="shared" si="9"/>
        <v>45887</v>
      </c>
      <c r="L18" s="141">
        <f t="shared" si="9"/>
        <v>45888</v>
      </c>
      <c r="M18" s="141">
        <f t="shared" si="9"/>
        <v>45889</v>
      </c>
      <c r="N18" s="141">
        <f t="shared" si="9"/>
        <v>45890</v>
      </c>
      <c r="O18" s="141">
        <f t="shared" si="9"/>
        <v>45891</v>
      </c>
      <c r="P18" s="141">
        <f t="shared" si="9"/>
        <v>45892</v>
      </c>
      <c r="Q18" s="141">
        <f t="shared" si="9"/>
        <v>45893</v>
      </c>
      <c r="R18" s="141">
        <f t="shared" si="9"/>
        <v>45894</v>
      </c>
      <c r="S18" s="141">
        <f t="shared" si="9"/>
        <v>45895</v>
      </c>
      <c r="T18" s="141">
        <f t="shared" si="9"/>
        <v>45896</v>
      </c>
      <c r="U18" s="141">
        <f t="shared" si="9"/>
        <v>45897</v>
      </c>
      <c r="V18" s="141">
        <f t="shared" si="9"/>
        <v>45898</v>
      </c>
      <c r="W18" s="141">
        <f t="shared" si="9"/>
        <v>45899</v>
      </c>
      <c r="X18" s="141">
        <f t="shared" si="9"/>
        <v>45900</v>
      </c>
      <c r="Y18" s="253" t="s">
        <v>6</v>
      </c>
      <c r="Z18" s="253" t="s">
        <v>7</v>
      </c>
      <c r="AA18" s="209"/>
      <c r="AB18" s="114"/>
    </row>
    <row r="19" spans="1:29" ht="26.25" customHeight="1">
      <c r="A19" s="254"/>
      <c r="B19" s="254"/>
      <c r="C19" s="254"/>
      <c r="D19" s="254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Sat</v>
      </c>
      <c r="J19" s="222" t="str">
        <f t="shared" si="10"/>
        <v>Sun</v>
      </c>
      <c r="K19" s="222" t="str">
        <f t="shared" si="10"/>
        <v>Mon</v>
      </c>
      <c r="L19" s="222" t="str">
        <f t="shared" si="10"/>
        <v>Tue</v>
      </c>
      <c r="M19" s="222" t="str">
        <f t="shared" si="10"/>
        <v>Wed</v>
      </c>
      <c r="N19" s="222" t="str">
        <f t="shared" si="10"/>
        <v>Thu</v>
      </c>
      <c r="O19" s="222" t="str">
        <f t="shared" si="10"/>
        <v>Fri</v>
      </c>
      <c r="P19" s="127" t="str">
        <f t="shared" si="10"/>
        <v>Sat</v>
      </c>
      <c r="Q19" s="127" t="str">
        <f t="shared" si="10"/>
        <v>Sun</v>
      </c>
      <c r="R19" s="222" t="str">
        <f t="shared" si="10"/>
        <v>Mon</v>
      </c>
      <c r="S19" s="222" t="str">
        <f t="shared" si="10"/>
        <v>Tue</v>
      </c>
      <c r="T19" s="222" t="str">
        <f t="shared" si="10"/>
        <v>Wed</v>
      </c>
      <c r="U19" s="222" t="str">
        <f t="shared" si="10"/>
        <v>Thu</v>
      </c>
      <c r="V19" s="222" t="str">
        <f t="shared" si="10"/>
        <v>Fri</v>
      </c>
      <c r="W19" s="127" t="str">
        <f t="shared" si="10"/>
        <v>Sat</v>
      </c>
      <c r="X19" s="127" t="str">
        <f t="shared" si="10"/>
        <v>Sun</v>
      </c>
      <c r="Y19" s="254"/>
      <c r="Z19" s="254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72</v>
      </c>
      <c r="E20" s="134">
        <f t="shared" ref="E20:E25" si="12">Z20*8</f>
        <v>72</v>
      </c>
      <c r="F20" s="134">
        <f t="shared" ref="F20:F25" si="13">G20+H20</f>
        <v>72</v>
      </c>
      <c r="G20" s="134">
        <f t="shared" ref="G20:G25" si="14">SUM(I20:X20)</f>
        <v>72</v>
      </c>
      <c r="H20" s="135">
        <v>0</v>
      </c>
      <c r="I20" s="199"/>
      <c r="J20" s="199"/>
      <c r="K20" s="180">
        <v>8</v>
      </c>
      <c r="L20" s="180">
        <v>8</v>
      </c>
      <c r="M20" s="180">
        <v>8</v>
      </c>
      <c r="N20" s="180">
        <v>8</v>
      </c>
      <c r="O20" s="180">
        <v>8</v>
      </c>
      <c r="P20" s="199"/>
      <c r="Q20" s="199"/>
      <c r="R20" s="180">
        <v>8</v>
      </c>
      <c r="S20" s="180">
        <v>8</v>
      </c>
      <c r="T20" s="185"/>
      <c r="U20" s="180">
        <v>8</v>
      </c>
      <c r="V20" s="180">
        <v>8</v>
      </c>
      <c r="W20" s="199"/>
      <c r="X20" s="199"/>
      <c r="Y20" s="134">
        <f t="shared" ref="Y20:Y25" si="15">Z20-COUNTA(I20:X20)</f>
        <v>0</v>
      </c>
      <c r="Z20" s="136">
        <v>9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72</v>
      </c>
      <c r="E21" s="134">
        <f t="shared" si="12"/>
        <v>72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99"/>
      <c r="K21" s="186"/>
      <c r="L21" s="180">
        <v>8</v>
      </c>
      <c r="M21" s="180">
        <v>8</v>
      </c>
      <c r="N21" s="180">
        <v>8</v>
      </c>
      <c r="O21" s="183">
        <v>8</v>
      </c>
      <c r="P21" s="199"/>
      <c r="Q21" s="199"/>
      <c r="R21" s="183">
        <v>8</v>
      </c>
      <c r="S21" s="180">
        <v>8</v>
      </c>
      <c r="T21" s="185"/>
      <c r="U21" s="180">
        <v>8</v>
      </c>
      <c r="V21" s="183">
        <v>8</v>
      </c>
      <c r="W21" s="199"/>
      <c r="X21" s="199"/>
      <c r="Y21" s="134">
        <f t="shared" si="15"/>
        <v>1</v>
      </c>
      <c r="Z21" s="136">
        <v>9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72</v>
      </c>
      <c r="E22" s="134">
        <f t="shared" si="12"/>
        <v>72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99"/>
      <c r="K22" s="180">
        <v>8</v>
      </c>
      <c r="L22" s="180">
        <v>8</v>
      </c>
      <c r="M22" s="180">
        <v>8</v>
      </c>
      <c r="N22" s="180">
        <v>8</v>
      </c>
      <c r="O22" s="180">
        <v>8</v>
      </c>
      <c r="P22" s="199"/>
      <c r="Q22" s="199"/>
      <c r="R22" s="180">
        <v>8</v>
      </c>
      <c r="S22" s="180">
        <v>8</v>
      </c>
      <c r="T22" s="185"/>
      <c r="U22" s="180">
        <v>8</v>
      </c>
      <c r="V22" s="180">
        <v>8</v>
      </c>
      <c r="W22" s="199"/>
      <c r="X22" s="199"/>
      <c r="Y22" s="134">
        <f t="shared" si="15"/>
        <v>0</v>
      </c>
      <c r="Z22" s="136">
        <v>9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72</v>
      </c>
      <c r="E23" s="134">
        <f t="shared" si="12"/>
        <v>72</v>
      </c>
      <c r="F23" s="134">
        <f t="shared" si="13"/>
        <v>72</v>
      </c>
      <c r="G23" s="134">
        <f t="shared" si="14"/>
        <v>72</v>
      </c>
      <c r="H23" s="135">
        <v>0</v>
      </c>
      <c r="I23" s="199"/>
      <c r="J23" s="199"/>
      <c r="K23" s="180">
        <v>8</v>
      </c>
      <c r="L23" s="180">
        <v>8</v>
      </c>
      <c r="M23" s="180">
        <v>8</v>
      </c>
      <c r="N23" s="180">
        <v>8</v>
      </c>
      <c r="O23" s="183">
        <v>8</v>
      </c>
      <c r="P23" s="199"/>
      <c r="Q23" s="199"/>
      <c r="R23" s="183">
        <v>8</v>
      </c>
      <c r="S23" s="180">
        <v>8</v>
      </c>
      <c r="T23" s="185"/>
      <c r="U23" s="180">
        <v>8</v>
      </c>
      <c r="V23" s="183">
        <v>8</v>
      </c>
      <c r="W23" s="199"/>
      <c r="X23" s="199"/>
      <c r="Y23" s="134"/>
      <c r="Z23" s="136">
        <v>9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72</v>
      </c>
      <c r="E24" s="134">
        <f t="shared" si="12"/>
        <v>72</v>
      </c>
      <c r="F24" s="134">
        <f t="shared" si="13"/>
        <v>72</v>
      </c>
      <c r="G24" s="134">
        <f t="shared" si="14"/>
        <v>72</v>
      </c>
      <c r="H24" s="135">
        <v>0</v>
      </c>
      <c r="I24" s="199"/>
      <c r="J24" s="199"/>
      <c r="K24" s="180">
        <v>8</v>
      </c>
      <c r="L24" s="180">
        <v>8</v>
      </c>
      <c r="M24" s="180">
        <v>8</v>
      </c>
      <c r="N24" s="180">
        <v>8</v>
      </c>
      <c r="O24" s="180">
        <v>8</v>
      </c>
      <c r="P24" s="199"/>
      <c r="Q24" s="199"/>
      <c r="R24" s="180">
        <v>8</v>
      </c>
      <c r="S24" s="180">
        <v>8</v>
      </c>
      <c r="T24" s="185"/>
      <c r="U24" s="180">
        <v>8</v>
      </c>
      <c r="V24" s="180">
        <v>8</v>
      </c>
      <c r="W24" s="199"/>
      <c r="X24" s="199"/>
      <c r="Y24" s="134">
        <f t="shared" si="15"/>
        <v>0</v>
      </c>
      <c r="Z24" s="136">
        <v>9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72</v>
      </c>
      <c r="E25" s="134">
        <f t="shared" si="12"/>
        <v>72</v>
      </c>
      <c r="F25" s="134">
        <f t="shared" si="13"/>
        <v>72</v>
      </c>
      <c r="G25" s="134">
        <f t="shared" si="14"/>
        <v>72</v>
      </c>
      <c r="H25" s="135">
        <v>0</v>
      </c>
      <c r="I25" s="199"/>
      <c r="J25" s="199"/>
      <c r="K25" s="183">
        <v>8</v>
      </c>
      <c r="L25" s="183">
        <v>8</v>
      </c>
      <c r="M25" s="183">
        <v>8</v>
      </c>
      <c r="N25" s="183">
        <v>8</v>
      </c>
      <c r="O25" s="183">
        <v>8</v>
      </c>
      <c r="P25" s="199"/>
      <c r="Q25" s="199"/>
      <c r="R25" s="183">
        <v>8</v>
      </c>
      <c r="S25" s="183">
        <v>8</v>
      </c>
      <c r="T25" s="235"/>
      <c r="U25" s="183">
        <v>8</v>
      </c>
      <c r="V25" s="183">
        <v>8</v>
      </c>
      <c r="W25" s="199"/>
      <c r="X25" s="199"/>
      <c r="Y25" s="134">
        <f t="shared" si="15"/>
        <v>0</v>
      </c>
      <c r="Z25" s="136">
        <v>9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432</v>
      </c>
      <c r="E30" s="224">
        <f t="shared" si="16"/>
        <v>432</v>
      </c>
      <c r="F30" s="224">
        <f t="shared" si="16"/>
        <v>424</v>
      </c>
      <c r="G30" s="224">
        <f t="shared" si="16"/>
        <v>424</v>
      </c>
      <c r="H30" s="224">
        <f t="shared" si="16"/>
        <v>0</v>
      </c>
      <c r="I30" s="224">
        <f t="shared" si="16"/>
        <v>0</v>
      </c>
      <c r="J30" s="224">
        <f t="shared" si="16"/>
        <v>0</v>
      </c>
      <c r="K30" s="224">
        <f t="shared" si="16"/>
        <v>40</v>
      </c>
      <c r="L30" s="224">
        <f t="shared" si="16"/>
        <v>48</v>
      </c>
      <c r="M30" s="224">
        <f t="shared" si="16"/>
        <v>48</v>
      </c>
      <c r="N30" s="224">
        <f t="shared" si="16"/>
        <v>48</v>
      </c>
      <c r="O30" s="224">
        <f t="shared" si="16"/>
        <v>48</v>
      </c>
      <c r="P30" s="224">
        <f t="shared" si="16"/>
        <v>0</v>
      </c>
      <c r="Q30" s="224">
        <f t="shared" si="16"/>
        <v>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152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152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152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152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152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144</v>
      </c>
      <c r="C39" s="159">
        <f t="shared" si="17"/>
        <v>152</v>
      </c>
      <c r="D39" s="160">
        <f t="shared" si="18"/>
        <v>144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9</v>
      </c>
      <c r="C57" s="173">
        <f t="shared" si="22"/>
        <v>72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152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08D-F28C-4ACF-B15B-1D96BB3164DA}">
  <sheetPr>
    <tabColor theme="4" tint="-0.249977111117893"/>
  </sheetPr>
  <dimension ref="A1:AI997"/>
  <sheetViews>
    <sheetView showGridLines="0" workbookViewId="0">
      <pane xSplit="2" topLeftCell="C1" activePane="topRight" state="frozen"/>
      <selection pane="topRight" activeCell="L20" sqref="L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4" width="7.1640625" style="115" customWidth="1"/>
    <col min="15" max="15" width="7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45839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4"/>
      <c r="G3" s="254"/>
      <c r="H3" s="254"/>
      <c r="I3" s="141">
        <f>C1</f>
        <v>45839</v>
      </c>
      <c r="J3" s="141">
        <f t="shared" ref="J3:W3" si="0">I3+1</f>
        <v>45840</v>
      </c>
      <c r="K3" s="141">
        <f t="shared" si="0"/>
        <v>45841</v>
      </c>
      <c r="L3" s="141">
        <f t="shared" si="0"/>
        <v>45842</v>
      </c>
      <c r="M3" s="141">
        <f t="shared" si="0"/>
        <v>45843</v>
      </c>
      <c r="N3" s="141">
        <f t="shared" si="0"/>
        <v>45844</v>
      </c>
      <c r="O3" s="141">
        <f t="shared" si="0"/>
        <v>45845</v>
      </c>
      <c r="P3" s="141">
        <f t="shared" si="0"/>
        <v>45846</v>
      </c>
      <c r="Q3" s="141">
        <f t="shared" si="0"/>
        <v>45847</v>
      </c>
      <c r="R3" s="141">
        <f t="shared" si="0"/>
        <v>45848</v>
      </c>
      <c r="S3" s="141">
        <f t="shared" si="0"/>
        <v>45849</v>
      </c>
      <c r="T3" s="141">
        <f t="shared" si="0"/>
        <v>45850</v>
      </c>
      <c r="U3" s="141">
        <f t="shared" si="0"/>
        <v>45851</v>
      </c>
      <c r="V3" s="141">
        <f t="shared" si="0"/>
        <v>45852</v>
      </c>
      <c r="W3" s="141">
        <f t="shared" si="0"/>
        <v>45853</v>
      </c>
      <c r="X3" s="253" t="s">
        <v>6</v>
      </c>
      <c r="Y3" s="253" t="s">
        <v>7</v>
      </c>
      <c r="Z3" s="209"/>
      <c r="AA3" s="114"/>
      <c r="AB3" s="114"/>
    </row>
    <row r="4" spans="1:35" ht="27" customHeight="1">
      <c r="A4" s="254"/>
      <c r="B4" s="254"/>
      <c r="C4" s="254"/>
      <c r="D4" s="254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222" t="str">
        <f t="shared" si="1"/>
        <v>Fri</v>
      </c>
      <c r="M4" s="222" t="str">
        <f t="shared" si="1"/>
        <v>Sat</v>
      </c>
      <c r="N4" s="221" t="str">
        <f t="shared" si="1"/>
        <v>Sun</v>
      </c>
      <c r="O4" s="221" t="str">
        <f t="shared" si="1"/>
        <v>Mon</v>
      </c>
      <c r="P4" s="222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54"/>
      <c r="Y4" s="254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0">
        <v>8</v>
      </c>
      <c r="T9" s="199"/>
      <c r="U9" s="199"/>
      <c r="V9" s="180">
        <v>8</v>
      </c>
      <c r="W9" s="180">
        <v>8</v>
      </c>
      <c r="X9" s="134">
        <f t="shared" si="6"/>
        <v>0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0">
        <v>8</v>
      </c>
      <c r="T10" s="199"/>
      <c r="U10" s="199"/>
      <c r="V10" s="180">
        <v>8</v>
      </c>
      <c r="W10" s="180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528</v>
      </c>
      <c r="G15" s="224">
        <f t="shared" si="8"/>
        <v>528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0</v>
      </c>
      <c r="N15" s="224">
        <f t="shared" si="8"/>
        <v>0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0</v>
      </c>
      <c r="U15" s="224">
        <f t="shared" si="8"/>
        <v>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4"/>
      <c r="G18" s="254"/>
      <c r="H18" s="254"/>
      <c r="I18" s="141">
        <f>W3+1</f>
        <v>45854</v>
      </c>
      <c r="J18" s="141">
        <f t="shared" ref="J18:X18" si="9">I18+1</f>
        <v>45855</v>
      </c>
      <c r="K18" s="141">
        <f t="shared" si="9"/>
        <v>45856</v>
      </c>
      <c r="L18" s="141">
        <f t="shared" si="9"/>
        <v>45857</v>
      </c>
      <c r="M18" s="141">
        <f t="shared" si="9"/>
        <v>45858</v>
      </c>
      <c r="N18" s="141">
        <f t="shared" si="9"/>
        <v>45859</v>
      </c>
      <c r="O18" s="141">
        <f t="shared" si="9"/>
        <v>45860</v>
      </c>
      <c r="P18" s="141">
        <f t="shared" si="9"/>
        <v>45861</v>
      </c>
      <c r="Q18" s="141">
        <f t="shared" si="9"/>
        <v>45862</v>
      </c>
      <c r="R18" s="141">
        <f t="shared" si="9"/>
        <v>45863</v>
      </c>
      <c r="S18" s="141">
        <f t="shared" si="9"/>
        <v>45864</v>
      </c>
      <c r="T18" s="141">
        <f t="shared" si="9"/>
        <v>45865</v>
      </c>
      <c r="U18" s="141">
        <f t="shared" si="9"/>
        <v>45866</v>
      </c>
      <c r="V18" s="141">
        <f t="shared" si="9"/>
        <v>45867</v>
      </c>
      <c r="W18" s="141">
        <f t="shared" si="9"/>
        <v>45868</v>
      </c>
      <c r="X18" s="141">
        <f t="shared" si="9"/>
        <v>45869</v>
      </c>
      <c r="Y18" s="253" t="s">
        <v>6</v>
      </c>
      <c r="Z18" s="253" t="s">
        <v>7</v>
      </c>
      <c r="AA18" s="209"/>
      <c r="AB18" s="114"/>
    </row>
    <row r="19" spans="1:29" ht="26.25" customHeight="1">
      <c r="A19" s="254"/>
      <c r="B19" s="254"/>
      <c r="C19" s="254"/>
      <c r="D19" s="254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Wed</v>
      </c>
      <c r="J19" s="222" t="str">
        <f t="shared" si="10"/>
        <v>Thu</v>
      </c>
      <c r="K19" s="222" t="str">
        <f t="shared" si="10"/>
        <v>Fri</v>
      </c>
      <c r="L19" s="222" t="str">
        <f t="shared" si="10"/>
        <v>Sat</v>
      </c>
      <c r="M19" s="222" t="str">
        <f t="shared" si="10"/>
        <v>Sun</v>
      </c>
      <c r="N19" s="222" t="str">
        <f t="shared" si="10"/>
        <v>Mon</v>
      </c>
      <c r="O19" s="222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222" t="str">
        <f t="shared" si="10"/>
        <v>Fri</v>
      </c>
      <c r="S19" s="222" t="str">
        <f t="shared" si="10"/>
        <v>Sat</v>
      </c>
      <c r="T19" s="222" t="str">
        <f t="shared" si="10"/>
        <v>Sun</v>
      </c>
      <c r="U19" s="222" t="str">
        <f t="shared" si="10"/>
        <v>Mon</v>
      </c>
      <c r="V19" s="222" t="str">
        <f t="shared" si="10"/>
        <v>Tue</v>
      </c>
      <c r="W19" s="127" t="str">
        <f t="shared" si="10"/>
        <v>Wed</v>
      </c>
      <c r="X19" s="127" t="str">
        <f t="shared" si="10"/>
        <v>Thu</v>
      </c>
      <c r="Y19" s="254"/>
      <c r="Z19" s="254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0">
        <v>8</v>
      </c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180">
        <v>8</v>
      </c>
      <c r="W20" s="180">
        <v>8</v>
      </c>
      <c r="X20" s="207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96</v>
      </c>
      <c r="G21" s="134">
        <f t="shared" si="14"/>
        <v>96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3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183">
        <v>8</v>
      </c>
      <c r="W21" s="180">
        <v>8</v>
      </c>
      <c r="X21" s="207">
        <v>8</v>
      </c>
      <c r="Y21" s="134">
        <f t="shared" si="15"/>
        <v>0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180">
        <v>8</v>
      </c>
      <c r="W22" s="180">
        <v>8</v>
      </c>
      <c r="X22" s="207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96</v>
      </c>
      <c r="G23" s="134">
        <f t="shared" si="14"/>
        <v>96</v>
      </c>
      <c r="H23" s="135">
        <v>0</v>
      </c>
      <c r="I23" s="180">
        <v>8</v>
      </c>
      <c r="J23" s="180">
        <v>8</v>
      </c>
      <c r="K23" s="180">
        <v>8</v>
      </c>
      <c r="L23" s="199"/>
      <c r="M23" s="199"/>
      <c r="N23" s="180">
        <v>8</v>
      </c>
      <c r="O23" s="183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183">
        <v>8</v>
      </c>
      <c r="W23" s="180">
        <v>8</v>
      </c>
      <c r="X23" s="207">
        <v>8</v>
      </c>
      <c r="Y23" s="134">
        <f t="shared" si="15"/>
        <v>0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96</v>
      </c>
      <c r="G24" s="134">
        <f t="shared" si="14"/>
        <v>96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180">
        <v>8</v>
      </c>
      <c r="W24" s="180">
        <v>8</v>
      </c>
      <c r="X24" s="207">
        <v>8</v>
      </c>
      <c r="Y24" s="134">
        <f t="shared" si="15"/>
        <v>0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0">
        <v>8</v>
      </c>
      <c r="O25" s="186"/>
      <c r="P25" s="186"/>
      <c r="Q25" s="180">
        <v>8</v>
      </c>
      <c r="R25" s="183">
        <v>8</v>
      </c>
      <c r="S25" s="200"/>
      <c r="T25" s="200"/>
      <c r="U25" s="180">
        <v>8</v>
      </c>
      <c r="V25" s="183">
        <v>8</v>
      </c>
      <c r="W25" s="180">
        <v>8</v>
      </c>
      <c r="X25" s="207">
        <v>8</v>
      </c>
      <c r="Y25" s="134">
        <f t="shared" si="15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560</v>
      </c>
      <c r="G30" s="224">
        <f t="shared" si="16"/>
        <v>560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0</v>
      </c>
      <c r="M30" s="224">
        <f t="shared" si="16"/>
        <v>0</v>
      </c>
      <c r="N30" s="224">
        <f t="shared" si="16"/>
        <v>48</v>
      </c>
      <c r="O30" s="224">
        <f t="shared" si="16"/>
        <v>40</v>
      </c>
      <c r="P30" s="224">
        <f t="shared" si="16"/>
        <v>40</v>
      </c>
      <c r="Q30" s="224">
        <f t="shared" si="16"/>
        <v>48</v>
      </c>
      <c r="R30" s="224">
        <f t="shared" si="16"/>
        <v>48</v>
      </c>
      <c r="S30" s="224">
        <f t="shared" si="16"/>
        <v>0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184</v>
      </c>
      <c r="C34" s="154">
        <f t="shared" ref="C34:C39" si="17">E5+E20</f>
        <v>184</v>
      </c>
      <c r="D34" s="155">
        <f t="shared" ref="D34:D39" si="18">B34</f>
        <v>184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184</v>
      </c>
      <c r="C35" s="154">
        <f t="shared" si="17"/>
        <v>184</v>
      </c>
      <c r="D35" s="155">
        <f t="shared" si="18"/>
        <v>184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184</v>
      </c>
      <c r="C36" s="154">
        <f t="shared" si="17"/>
        <v>184</v>
      </c>
      <c r="D36" s="155">
        <f t="shared" si="18"/>
        <v>184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184</v>
      </c>
      <c r="C37" s="154">
        <f t="shared" si="17"/>
        <v>184</v>
      </c>
      <c r="D37" s="155">
        <f t="shared" si="18"/>
        <v>184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184</v>
      </c>
      <c r="C38" s="217">
        <f t="shared" si="17"/>
        <v>184</v>
      </c>
      <c r="D38" s="218">
        <f t="shared" si="18"/>
        <v>184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184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184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9859-A826-4016-8BC0-97B68401CF5E}">
  <sheetPr>
    <tabColor theme="8"/>
  </sheetPr>
  <dimension ref="A1:AI997"/>
  <sheetViews>
    <sheetView showGridLines="0" workbookViewId="0">
      <pane xSplit="2" topLeftCell="D1" activePane="topRight" state="frozen"/>
      <selection pane="topRight" activeCell="J20" sqref="J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45748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9" t="s">
        <v>1</v>
      </c>
      <c r="B3" s="259" t="s">
        <v>2</v>
      </c>
      <c r="C3" s="259" t="s">
        <v>3</v>
      </c>
      <c r="D3" s="259" t="s">
        <v>4</v>
      </c>
      <c r="E3" s="261" t="s">
        <v>5</v>
      </c>
      <c r="F3" s="262"/>
      <c r="G3" s="262"/>
      <c r="H3" s="263"/>
      <c r="I3" s="121">
        <f>C1</f>
        <v>45748</v>
      </c>
      <c r="J3" s="121">
        <f t="shared" ref="J3:W3" si="0">I3+1</f>
        <v>45749</v>
      </c>
      <c r="K3" s="121">
        <f t="shared" si="0"/>
        <v>45750</v>
      </c>
      <c r="L3" s="121">
        <f t="shared" si="0"/>
        <v>45751</v>
      </c>
      <c r="M3" s="121">
        <f t="shared" si="0"/>
        <v>45752</v>
      </c>
      <c r="N3" s="121">
        <f t="shared" si="0"/>
        <v>45753</v>
      </c>
      <c r="O3" s="121">
        <f t="shared" si="0"/>
        <v>45754</v>
      </c>
      <c r="P3" s="121">
        <f t="shared" si="0"/>
        <v>45755</v>
      </c>
      <c r="Q3" s="121">
        <f t="shared" si="0"/>
        <v>45756</v>
      </c>
      <c r="R3" s="121">
        <f t="shared" si="0"/>
        <v>45757</v>
      </c>
      <c r="S3" s="121">
        <f t="shared" si="0"/>
        <v>45758</v>
      </c>
      <c r="T3" s="121">
        <f t="shared" si="0"/>
        <v>45759</v>
      </c>
      <c r="U3" s="121">
        <f t="shared" si="0"/>
        <v>45760</v>
      </c>
      <c r="V3" s="121">
        <f t="shared" si="0"/>
        <v>45761</v>
      </c>
      <c r="W3" s="121">
        <f t="shared" si="0"/>
        <v>45762</v>
      </c>
      <c r="X3" s="259" t="s">
        <v>6</v>
      </c>
      <c r="Y3" s="259" t="s">
        <v>7</v>
      </c>
      <c r="Z3" s="120"/>
      <c r="AA3" s="114"/>
      <c r="AB3" s="114"/>
    </row>
    <row r="4" spans="1:35" ht="27" customHeight="1">
      <c r="A4" s="260"/>
      <c r="B4" s="260"/>
      <c r="C4" s="260"/>
      <c r="D4" s="260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128" t="str">
        <f t="shared" si="1"/>
        <v>Fri</v>
      </c>
      <c r="M4" s="128" t="str">
        <f t="shared" si="1"/>
        <v>Sat</v>
      </c>
      <c r="N4" s="126" t="str">
        <f t="shared" si="1"/>
        <v>Sun</v>
      </c>
      <c r="O4" s="126" t="str">
        <f t="shared" si="1"/>
        <v>Mon</v>
      </c>
      <c r="P4" s="128" t="str">
        <f t="shared" si="1"/>
        <v>Tue</v>
      </c>
      <c r="Q4" s="128" t="str">
        <f t="shared" si="1"/>
        <v>Wed</v>
      </c>
      <c r="R4" s="128" t="str">
        <f t="shared" si="1"/>
        <v>Thu</v>
      </c>
      <c r="S4" s="128" t="str">
        <f t="shared" si="1"/>
        <v>Fri</v>
      </c>
      <c r="T4" s="128" t="str">
        <f t="shared" si="1"/>
        <v>Sat</v>
      </c>
      <c r="U4" s="128" t="str">
        <f t="shared" si="1"/>
        <v>Sun</v>
      </c>
      <c r="V4" s="128" t="str">
        <f t="shared" si="1"/>
        <v>Mon</v>
      </c>
      <c r="W4" s="128" t="str">
        <f t="shared" si="1"/>
        <v>Tue</v>
      </c>
      <c r="X4" s="260"/>
      <c r="Y4" s="260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6"/>
      <c r="T9" s="199"/>
      <c r="U9" s="199"/>
      <c r="V9" s="180">
        <v>8</v>
      </c>
      <c r="W9" s="180">
        <v>8</v>
      </c>
      <c r="X9" s="134">
        <f t="shared" si="6"/>
        <v>1</v>
      </c>
      <c r="Y9" s="136">
        <v>11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1">
        <v>8</v>
      </c>
      <c r="T10" s="204"/>
      <c r="U10" s="205"/>
      <c r="V10" s="180">
        <v>8</v>
      </c>
      <c r="W10" s="180">
        <v>8</v>
      </c>
      <c r="X10" s="134">
        <f t="shared" si="6"/>
        <v>0</v>
      </c>
      <c r="Y10" s="136">
        <v>11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528</v>
      </c>
      <c r="E15" s="189">
        <f t="shared" si="8"/>
        <v>528</v>
      </c>
      <c r="F15" s="189">
        <f t="shared" si="8"/>
        <v>520</v>
      </c>
      <c r="G15" s="189">
        <f t="shared" si="8"/>
        <v>520</v>
      </c>
      <c r="H15" s="189">
        <f t="shared" si="8"/>
        <v>0</v>
      </c>
      <c r="I15" s="189">
        <f t="shared" si="8"/>
        <v>48</v>
      </c>
      <c r="J15" s="189">
        <f t="shared" si="8"/>
        <v>48</v>
      </c>
      <c r="K15" s="189">
        <f t="shared" si="8"/>
        <v>48</v>
      </c>
      <c r="L15" s="189">
        <f t="shared" si="8"/>
        <v>48</v>
      </c>
      <c r="M15" s="189">
        <f t="shared" si="8"/>
        <v>0</v>
      </c>
      <c r="N15" s="189">
        <f t="shared" si="8"/>
        <v>0</v>
      </c>
      <c r="O15" s="189">
        <f t="shared" si="8"/>
        <v>48</v>
      </c>
      <c r="P15" s="189">
        <f t="shared" si="8"/>
        <v>48</v>
      </c>
      <c r="Q15" s="189">
        <f t="shared" si="8"/>
        <v>48</v>
      </c>
      <c r="R15" s="189">
        <f t="shared" si="8"/>
        <v>48</v>
      </c>
      <c r="S15" s="189">
        <f t="shared" si="8"/>
        <v>40</v>
      </c>
      <c r="T15" s="189">
        <f t="shared" si="8"/>
        <v>0</v>
      </c>
      <c r="U15" s="189">
        <f t="shared" si="8"/>
        <v>0</v>
      </c>
      <c r="V15" s="189">
        <f t="shared" si="8"/>
        <v>48</v>
      </c>
      <c r="W15" s="189">
        <f t="shared" si="8"/>
        <v>48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9" t="s">
        <v>1</v>
      </c>
      <c r="B18" s="259" t="s">
        <v>2</v>
      </c>
      <c r="C18" s="259" t="s">
        <v>3</v>
      </c>
      <c r="D18" s="259" t="s">
        <v>4</v>
      </c>
      <c r="E18" s="261" t="s">
        <v>5</v>
      </c>
      <c r="F18" s="262"/>
      <c r="G18" s="262"/>
      <c r="H18" s="263"/>
      <c r="I18" s="141">
        <f>W3+1</f>
        <v>45763</v>
      </c>
      <c r="J18" s="141">
        <f t="shared" ref="J18:W18" si="9">I18+1</f>
        <v>45764</v>
      </c>
      <c r="K18" s="141">
        <f t="shared" si="9"/>
        <v>45765</v>
      </c>
      <c r="L18" s="121">
        <f t="shared" si="9"/>
        <v>45766</v>
      </c>
      <c r="M18" s="141">
        <f t="shared" si="9"/>
        <v>45767</v>
      </c>
      <c r="N18" s="141">
        <f t="shared" si="9"/>
        <v>45768</v>
      </c>
      <c r="O18" s="141">
        <f t="shared" si="9"/>
        <v>45769</v>
      </c>
      <c r="P18" s="141">
        <f t="shared" si="9"/>
        <v>45770</v>
      </c>
      <c r="Q18" s="141">
        <f t="shared" si="9"/>
        <v>45771</v>
      </c>
      <c r="R18" s="141">
        <f t="shared" si="9"/>
        <v>45772</v>
      </c>
      <c r="S18" s="141">
        <f t="shared" si="9"/>
        <v>45773</v>
      </c>
      <c r="T18" s="141">
        <f t="shared" si="9"/>
        <v>45774</v>
      </c>
      <c r="U18" s="141">
        <f t="shared" si="9"/>
        <v>45775</v>
      </c>
      <c r="V18" s="141">
        <f t="shared" si="9"/>
        <v>45776</v>
      </c>
      <c r="W18" s="141">
        <f t="shared" si="9"/>
        <v>45777</v>
      </c>
      <c r="X18" s="141"/>
      <c r="Y18" s="259" t="s">
        <v>6</v>
      </c>
      <c r="Z18" s="259" t="s">
        <v>7</v>
      </c>
      <c r="AA18" s="120"/>
      <c r="AB18" s="114"/>
    </row>
    <row r="19" spans="1:29" ht="26.25" customHeight="1">
      <c r="A19" s="260"/>
      <c r="B19" s="260"/>
      <c r="C19" s="260"/>
      <c r="D19" s="260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Wed</v>
      </c>
      <c r="J19" s="128" t="str">
        <f t="shared" si="10"/>
        <v>Thu</v>
      </c>
      <c r="K19" s="128" t="str">
        <f t="shared" si="10"/>
        <v>Fri</v>
      </c>
      <c r="L19" s="128" t="str">
        <f t="shared" si="10"/>
        <v>Sat</v>
      </c>
      <c r="M19" s="128" t="str">
        <f t="shared" si="10"/>
        <v>Sun</v>
      </c>
      <c r="N19" s="128" t="str">
        <f t="shared" si="10"/>
        <v>Mon</v>
      </c>
      <c r="O19" s="128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128" t="str">
        <f t="shared" si="10"/>
        <v>Fri</v>
      </c>
      <c r="S19" s="128" t="str">
        <f t="shared" si="10"/>
        <v>Sat</v>
      </c>
      <c r="T19" s="128" t="str">
        <f t="shared" si="10"/>
        <v>Sun</v>
      </c>
      <c r="U19" s="128" t="str">
        <f t="shared" si="10"/>
        <v>Mon</v>
      </c>
      <c r="V19" s="128" t="str">
        <f t="shared" si="10"/>
        <v>Tue</v>
      </c>
      <c r="W19" s="127" t="str">
        <f t="shared" si="10"/>
        <v>Wed</v>
      </c>
      <c r="X19" s="127"/>
      <c r="Y19" s="260"/>
      <c r="Z19" s="260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6"/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203">
        <v>8</v>
      </c>
      <c r="W20" s="180">
        <v>8</v>
      </c>
      <c r="X20" s="180"/>
      <c r="Y20" s="134">
        <f t="shared" ref="Y20:Y25" si="15">Z20-COUNTA(I20:X20)</f>
        <v>1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0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203">
        <v>8</v>
      </c>
      <c r="W21" s="180">
        <v>8</v>
      </c>
      <c r="X21" s="180"/>
      <c r="Y21" s="134">
        <f t="shared" si="15"/>
        <v>0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203">
        <v>8</v>
      </c>
      <c r="W22" s="180">
        <v>8</v>
      </c>
      <c r="X22" s="180"/>
      <c r="Y22" s="134">
        <f t="shared" si="15"/>
        <v>0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72</v>
      </c>
      <c r="G23" s="134">
        <f t="shared" si="14"/>
        <v>72</v>
      </c>
      <c r="H23" s="135">
        <v>0</v>
      </c>
      <c r="I23" s="180">
        <v>8</v>
      </c>
      <c r="J23" s="186"/>
      <c r="K23" s="186"/>
      <c r="L23" s="199"/>
      <c r="M23" s="199"/>
      <c r="N23" s="180">
        <v>8</v>
      </c>
      <c r="O23" s="180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203">
        <v>8</v>
      </c>
      <c r="W23" s="180">
        <v>8</v>
      </c>
      <c r="X23" s="186"/>
      <c r="Y23" s="134">
        <f t="shared" si="15"/>
        <v>2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203">
        <v>8</v>
      </c>
      <c r="W24" s="180">
        <v>8</v>
      </c>
      <c r="X24" s="180"/>
      <c r="Y24" s="134">
        <f t="shared" si="15"/>
        <v>0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3">
        <v>8</v>
      </c>
      <c r="O25" s="183">
        <v>8</v>
      </c>
      <c r="P25" s="183">
        <v>8</v>
      </c>
      <c r="Q25" s="180">
        <v>8</v>
      </c>
      <c r="R25" s="183">
        <v>8</v>
      </c>
      <c r="S25" s="200"/>
      <c r="T25" s="200"/>
      <c r="U25" s="186"/>
      <c r="V25" s="183">
        <v>8</v>
      </c>
      <c r="W25" s="180">
        <v>8</v>
      </c>
      <c r="X25" s="180"/>
      <c r="Y25" s="134">
        <f t="shared" si="15"/>
        <v>1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496</v>
      </c>
      <c r="G30" s="189">
        <f t="shared" si="16"/>
        <v>496</v>
      </c>
      <c r="H30" s="189">
        <f t="shared" si="16"/>
        <v>0</v>
      </c>
      <c r="I30" s="189">
        <f t="shared" si="16"/>
        <v>48</v>
      </c>
      <c r="J30" s="189">
        <f t="shared" si="16"/>
        <v>32</v>
      </c>
      <c r="K30" s="189">
        <f t="shared" si="16"/>
        <v>40</v>
      </c>
      <c r="L30" s="189">
        <f t="shared" si="16"/>
        <v>0</v>
      </c>
      <c r="M30" s="189">
        <f t="shared" si="16"/>
        <v>0</v>
      </c>
      <c r="N30" s="189">
        <f t="shared" si="16"/>
        <v>48</v>
      </c>
      <c r="O30" s="189">
        <f t="shared" si="16"/>
        <v>48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0</v>
      </c>
      <c r="T30" s="189">
        <f t="shared" si="16"/>
        <v>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168</v>
      </c>
      <c r="C34" s="154">
        <f t="shared" ref="C34:C39" si="17">E5+E20</f>
        <v>176</v>
      </c>
      <c r="D34" s="155">
        <f t="shared" ref="D34:D39" si="18">B34</f>
        <v>168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176</v>
      </c>
      <c r="C35" s="154">
        <f t="shared" si="17"/>
        <v>176</v>
      </c>
      <c r="D35" s="155">
        <f t="shared" si="18"/>
        <v>176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17"/>
        <v>176</v>
      </c>
      <c r="D36" s="155">
        <f t="shared" si="18"/>
        <v>176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176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168</v>
      </c>
      <c r="C38" s="159">
        <f t="shared" si="17"/>
        <v>176</v>
      </c>
      <c r="D38" s="160">
        <f t="shared" si="18"/>
        <v>168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68">
        <f>B48*8</f>
        <v>88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59B8-BAEA-476B-94F6-CEE91AA08963}">
  <sheetPr>
    <tabColor theme="8"/>
  </sheetPr>
  <dimension ref="A1:AI997"/>
  <sheetViews>
    <sheetView showGridLines="0" workbookViewId="0">
      <pane xSplit="2" topLeftCell="C1" activePane="topRight" state="frozen"/>
      <selection pane="topRight" activeCell="U21" sqref="U21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45717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9" t="s">
        <v>1</v>
      </c>
      <c r="B3" s="259" t="s">
        <v>2</v>
      </c>
      <c r="C3" s="259" t="s">
        <v>3</v>
      </c>
      <c r="D3" s="259" t="s">
        <v>4</v>
      </c>
      <c r="E3" s="261" t="s">
        <v>5</v>
      </c>
      <c r="F3" s="262"/>
      <c r="G3" s="262"/>
      <c r="H3" s="263"/>
      <c r="I3" s="121">
        <f>C1</f>
        <v>45717</v>
      </c>
      <c r="J3" s="121">
        <f t="shared" ref="J3:W3" si="0">I3+1</f>
        <v>45718</v>
      </c>
      <c r="K3" s="121">
        <f t="shared" si="0"/>
        <v>45719</v>
      </c>
      <c r="L3" s="121">
        <f t="shared" si="0"/>
        <v>45720</v>
      </c>
      <c r="M3" s="121">
        <f t="shared" si="0"/>
        <v>45721</v>
      </c>
      <c r="N3" s="121">
        <f t="shared" si="0"/>
        <v>45722</v>
      </c>
      <c r="O3" s="121">
        <f t="shared" si="0"/>
        <v>45723</v>
      </c>
      <c r="P3" s="121">
        <f t="shared" si="0"/>
        <v>45724</v>
      </c>
      <c r="Q3" s="121">
        <f t="shared" si="0"/>
        <v>45725</v>
      </c>
      <c r="R3" s="121">
        <f t="shared" si="0"/>
        <v>45726</v>
      </c>
      <c r="S3" s="121">
        <f t="shared" si="0"/>
        <v>45727</v>
      </c>
      <c r="T3" s="121">
        <f t="shared" si="0"/>
        <v>45728</v>
      </c>
      <c r="U3" s="121">
        <f t="shared" si="0"/>
        <v>45729</v>
      </c>
      <c r="V3" s="121">
        <f t="shared" si="0"/>
        <v>45730</v>
      </c>
      <c r="W3" s="121">
        <f t="shared" si="0"/>
        <v>45731</v>
      </c>
      <c r="X3" s="259" t="s">
        <v>6</v>
      </c>
      <c r="Y3" s="259" t="s">
        <v>7</v>
      </c>
      <c r="Z3" s="120"/>
      <c r="AA3" s="114"/>
      <c r="AB3" s="114"/>
    </row>
    <row r="4" spans="1:35" ht="27" customHeight="1">
      <c r="A4" s="260"/>
      <c r="B4" s="260"/>
      <c r="C4" s="260"/>
      <c r="D4" s="260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128" t="str">
        <f t="shared" si="1"/>
        <v>Tue</v>
      </c>
      <c r="M4" s="128" t="str">
        <f t="shared" si="1"/>
        <v>Wed</v>
      </c>
      <c r="N4" s="126" t="str">
        <f t="shared" si="1"/>
        <v>Thu</v>
      </c>
      <c r="O4" s="126" t="str">
        <f t="shared" si="1"/>
        <v>Fri</v>
      </c>
      <c r="P4" s="128" t="str">
        <f t="shared" si="1"/>
        <v>Sat</v>
      </c>
      <c r="Q4" s="128" t="str">
        <f t="shared" si="1"/>
        <v>Sun</v>
      </c>
      <c r="R4" s="128" t="str">
        <f t="shared" si="1"/>
        <v>Mon</v>
      </c>
      <c r="S4" s="128" t="str">
        <f t="shared" si="1"/>
        <v>Tue</v>
      </c>
      <c r="T4" s="128" t="str">
        <f t="shared" si="1"/>
        <v>Wed</v>
      </c>
      <c r="U4" s="128" t="str">
        <f t="shared" si="1"/>
        <v>Thu</v>
      </c>
      <c r="V4" s="128" t="str">
        <f t="shared" si="1"/>
        <v>Fri</v>
      </c>
      <c r="W4" s="128" t="str">
        <f t="shared" si="1"/>
        <v>Sat</v>
      </c>
      <c r="X4" s="260"/>
      <c r="Y4" s="260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99"/>
      <c r="J5" s="199"/>
      <c r="K5" s="180">
        <v>8</v>
      </c>
      <c r="L5" s="180">
        <v>8</v>
      </c>
      <c r="M5" s="180">
        <v>8</v>
      </c>
      <c r="N5" s="180">
        <v>8</v>
      </c>
      <c r="O5" s="180">
        <v>8</v>
      </c>
      <c r="P5" s="199"/>
      <c r="Q5" s="199"/>
      <c r="R5" s="180">
        <v>8</v>
      </c>
      <c r="S5" s="180">
        <v>8</v>
      </c>
      <c r="T5" s="180">
        <v>8</v>
      </c>
      <c r="U5" s="180">
        <v>8</v>
      </c>
      <c r="V5" s="180">
        <v>8</v>
      </c>
      <c r="W5" s="199"/>
      <c r="X5" s="134">
        <f>Y5-COUNTA(I5:W5)</f>
        <v>0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99"/>
      <c r="K6" s="180">
        <v>8</v>
      </c>
      <c r="L6" s="180">
        <v>8</v>
      </c>
      <c r="M6" s="180">
        <v>8</v>
      </c>
      <c r="N6" s="180">
        <v>8</v>
      </c>
      <c r="O6" s="180">
        <v>8</v>
      </c>
      <c r="P6" s="199"/>
      <c r="Q6" s="199"/>
      <c r="R6" s="180">
        <v>8</v>
      </c>
      <c r="S6" s="180">
        <v>8</v>
      </c>
      <c r="T6" s="180">
        <v>8</v>
      </c>
      <c r="U6" s="180">
        <v>8</v>
      </c>
      <c r="V6" s="180">
        <v>8</v>
      </c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99"/>
      <c r="J7" s="199"/>
      <c r="K7" s="180">
        <v>8</v>
      </c>
      <c r="L7" s="180">
        <v>8</v>
      </c>
      <c r="M7" s="180">
        <v>8</v>
      </c>
      <c r="N7" s="180">
        <v>8</v>
      </c>
      <c r="O7" s="180">
        <v>8</v>
      </c>
      <c r="P7" s="199"/>
      <c r="Q7" s="199"/>
      <c r="R7" s="186"/>
      <c r="S7" s="180">
        <v>8</v>
      </c>
      <c r="T7" s="180">
        <v>8</v>
      </c>
      <c r="U7" s="180">
        <v>8</v>
      </c>
      <c r="V7" s="180">
        <v>8</v>
      </c>
      <c r="W7" s="199"/>
      <c r="X7" s="134">
        <f t="shared" si="6"/>
        <v>1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99"/>
      <c r="K8" s="180">
        <v>8</v>
      </c>
      <c r="L8" s="180">
        <v>8</v>
      </c>
      <c r="M8" s="180">
        <v>8</v>
      </c>
      <c r="N8" s="180">
        <v>8</v>
      </c>
      <c r="O8" s="180">
        <v>8</v>
      </c>
      <c r="P8" s="199"/>
      <c r="Q8" s="199"/>
      <c r="R8" s="180">
        <v>8</v>
      </c>
      <c r="S8" s="180">
        <v>8</v>
      </c>
      <c r="T8" s="180">
        <v>8</v>
      </c>
      <c r="U8" s="180">
        <v>8</v>
      </c>
      <c r="V8" s="180">
        <v>8</v>
      </c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99"/>
      <c r="K9" s="180">
        <v>8</v>
      </c>
      <c r="L9" s="180">
        <v>8</v>
      </c>
      <c r="M9" s="180">
        <v>8</v>
      </c>
      <c r="N9" s="180">
        <v>8</v>
      </c>
      <c r="O9" s="180">
        <v>8</v>
      </c>
      <c r="P9" s="199"/>
      <c r="Q9" s="199"/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99"/>
      <c r="J10" s="199"/>
      <c r="K10" s="180">
        <v>8</v>
      </c>
      <c r="L10" s="180">
        <v>8</v>
      </c>
      <c r="M10" s="180">
        <v>8</v>
      </c>
      <c r="N10" s="180">
        <v>8</v>
      </c>
      <c r="O10" s="180">
        <v>8</v>
      </c>
      <c r="P10" s="199"/>
      <c r="Q10" s="199"/>
      <c r="R10" s="180">
        <v>8</v>
      </c>
      <c r="S10" s="181">
        <v>8</v>
      </c>
      <c r="T10" s="187">
        <v>8</v>
      </c>
      <c r="U10" s="182">
        <v>8</v>
      </c>
      <c r="V10" s="180">
        <v>8</v>
      </c>
      <c r="W10" s="199"/>
      <c r="X10" s="134">
        <f t="shared" si="6"/>
        <v>0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472</v>
      </c>
      <c r="G15" s="189">
        <f t="shared" si="8"/>
        <v>472</v>
      </c>
      <c r="H15" s="189">
        <f t="shared" si="8"/>
        <v>0</v>
      </c>
      <c r="I15" s="189">
        <f t="shared" si="8"/>
        <v>0</v>
      </c>
      <c r="J15" s="189">
        <f t="shared" si="8"/>
        <v>0</v>
      </c>
      <c r="K15" s="189">
        <f t="shared" si="8"/>
        <v>48</v>
      </c>
      <c r="L15" s="189">
        <f t="shared" si="8"/>
        <v>48</v>
      </c>
      <c r="M15" s="189">
        <f t="shared" si="8"/>
        <v>48</v>
      </c>
      <c r="N15" s="189">
        <f t="shared" si="8"/>
        <v>48</v>
      </c>
      <c r="O15" s="189">
        <f t="shared" si="8"/>
        <v>48</v>
      </c>
      <c r="P15" s="189">
        <f t="shared" si="8"/>
        <v>0</v>
      </c>
      <c r="Q15" s="189">
        <f t="shared" si="8"/>
        <v>0</v>
      </c>
      <c r="R15" s="189">
        <f t="shared" si="8"/>
        <v>40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48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9" t="s">
        <v>1</v>
      </c>
      <c r="B18" s="259" t="s">
        <v>2</v>
      </c>
      <c r="C18" s="259" t="s">
        <v>3</v>
      </c>
      <c r="D18" s="259" t="s">
        <v>4</v>
      </c>
      <c r="E18" s="261" t="s">
        <v>5</v>
      </c>
      <c r="F18" s="262"/>
      <c r="G18" s="262"/>
      <c r="H18" s="263"/>
      <c r="I18" s="141">
        <f>W3+1</f>
        <v>45732</v>
      </c>
      <c r="J18" s="141">
        <f t="shared" ref="J18:X18" si="9">I18+1</f>
        <v>45733</v>
      </c>
      <c r="K18" s="141">
        <f t="shared" si="9"/>
        <v>45734</v>
      </c>
      <c r="L18" s="121">
        <f t="shared" si="9"/>
        <v>45735</v>
      </c>
      <c r="M18" s="141">
        <f t="shared" si="9"/>
        <v>45736</v>
      </c>
      <c r="N18" s="141">
        <f t="shared" si="9"/>
        <v>45737</v>
      </c>
      <c r="O18" s="141">
        <f t="shared" si="9"/>
        <v>45738</v>
      </c>
      <c r="P18" s="141">
        <f t="shared" si="9"/>
        <v>45739</v>
      </c>
      <c r="Q18" s="141">
        <f t="shared" si="9"/>
        <v>45740</v>
      </c>
      <c r="R18" s="141">
        <f t="shared" si="9"/>
        <v>45741</v>
      </c>
      <c r="S18" s="141">
        <f t="shared" si="9"/>
        <v>45742</v>
      </c>
      <c r="T18" s="141">
        <f t="shared" si="9"/>
        <v>45743</v>
      </c>
      <c r="U18" s="141">
        <f t="shared" si="9"/>
        <v>45744</v>
      </c>
      <c r="V18" s="141">
        <f t="shared" si="9"/>
        <v>45745</v>
      </c>
      <c r="W18" s="141">
        <f t="shared" si="9"/>
        <v>45746</v>
      </c>
      <c r="X18" s="141">
        <f t="shared" si="9"/>
        <v>45747</v>
      </c>
      <c r="Y18" s="259" t="s">
        <v>6</v>
      </c>
      <c r="Z18" s="259" t="s">
        <v>7</v>
      </c>
      <c r="AA18" s="120"/>
      <c r="AB18" s="114"/>
    </row>
    <row r="19" spans="1:29" ht="26.25" customHeight="1">
      <c r="A19" s="260"/>
      <c r="B19" s="260"/>
      <c r="C19" s="260"/>
      <c r="D19" s="260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X19" si="10">IF(I18="","",TEXT(WEEKDAY(I18), "ddd"))</f>
        <v>Sun</v>
      </c>
      <c r="J19" s="128" t="str">
        <f t="shared" si="10"/>
        <v>Mon</v>
      </c>
      <c r="K19" s="128" t="str">
        <f t="shared" si="10"/>
        <v>Tue</v>
      </c>
      <c r="L19" s="128" t="str">
        <f t="shared" si="10"/>
        <v>Wed</v>
      </c>
      <c r="M19" s="128" t="str">
        <f t="shared" si="10"/>
        <v>Thu</v>
      </c>
      <c r="N19" s="128" t="str">
        <f t="shared" si="10"/>
        <v>Fri</v>
      </c>
      <c r="O19" s="128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128" t="str">
        <f t="shared" si="10"/>
        <v>Tue</v>
      </c>
      <c r="S19" s="128" t="str">
        <f t="shared" si="10"/>
        <v>Wed</v>
      </c>
      <c r="T19" s="128" t="str">
        <f t="shared" si="10"/>
        <v>Thu</v>
      </c>
      <c r="U19" s="128" t="str">
        <f t="shared" si="10"/>
        <v>Fri</v>
      </c>
      <c r="V19" s="128" t="str">
        <f t="shared" si="10"/>
        <v>Sat</v>
      </c>
      <c r="W19" s="127" t="str">
        <f t="shared" si="10"/>
        <v>Sun</v>
      </c>
      <c r="X19" s="127" t="str">
        <f t="shared" si="10"/>
        <v>Mon</v>
      </c>
      <c r="Y19" s="260"/>
      <c r="Z19" s="260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0">
        <v>8</v>
      </c>
      <c r="R20" s="180">
        <v>8</v>
      </c>
      <c r="S20" s="180">
        <v>8</v>
      </c>
      <c r="T20" s="180">
        <v>8</v>
      </c>
      <c r="U20" s="180">
        <v>8</v>
      </c>
      <c r="V20" s="201"/>
      <c r="W20" s="199"/>
      <c r="X20" s="185"/>
      <c r="Y20" s="134">
        <f t="shared" ref="Y20:Y25" si="15">Z20-COUNTA(I20:X20)</f>
        <v>0</v>
      </c>
      <c r="Z20" s="136">
        <v>10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199"/>
      <c r="P21" s="199"/>
      <c r="Q21" s="180">
        <v>8</v>
      </c>
      <c r="R21" s="183">
        <v>8</v>
      </c>
      <c r="S21" s="180">
        <v>8</v>
      </c>
      <c r="T21" s="186"/>
      <c r="U21" s="186"/>
      <c r="V21" s="201"/>
      <c r="W21" s="199"/>
      <c r="X21" s="185"/>
      <c r="Y21" s="134">
        <f t="shared" si="15"/>
        <v>2</v>
      </c>
      <c r="Z21" s="136">
        <v>10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80">
        <v>8</v>
      </c>
      <c r="K22" s="186"/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201"/>
      <c r="W22" s="199"/>
      <c r="X22" s="185"/>
      <c r="Y22" s="134">
        <f t="shared" si="15"/>
        <v>1</v>
      </c>
      <c r="Z22" s="136">
        <v>10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199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1"/>
      <c r="W23" s="199"/>
      <c r="X23" s="185"/>
      <c r="Y23" s="134">
        <f t="shared" si="15"/>
        <v>0</v>
      </c>
      <c r="Z23" s="136">
        <v>10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6"/>
      <c r="N24" s="186"/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201"/>
      <c r="W24" s="199"/>
      <c r="X24" s="185"/>
      <c r="Y24" s="134">
        <f t="shared" si="15"/>
        <v>2</v>
      </c>
      <c r="Z24" s="136">
        <v>10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56</v>
      </c>
      <c r="G25" s="134">
        <f t="shared" si="14"/>
        <v>56</v>
      </c>
      <c r="H25" s="135">
        <v>0</v>
      </c>
      <c r="I25" s="199"/>
      <c r="J25" s="186"/>
      <c r="K25" s="186"/>
      <c r="L25" s="180">
        <v>8</v>
      </c>
      <c r="M25" s="180">
        <v>8</v>
      </c>
      <c r="N25" s="183">
        <v>8</v>
      </c>
      <c r="O25" s="200"/>
      <c r="P25" s="200"/>
      <c r="Q25" s="186"/>
      <c r="R25" s="183">
        <v>8</v>
      </c>
      <c r="S25" s="183">
        <v>8</v>
      </c>
      <c r="T25" s="183">
        <v>8</v>
      </c>
      <c r="U25" s="183">
        <v>8</v>
      </c>
      <c r="V25" s="200"/>
      <c r="W25" s="199"/>
      <c r="X25" s="185"/>
      <c r="Y25" s="134">
        <f t="shared" si="15"/>
        <v>3</v>
      </c>
      <c r="Z25" s="136">
        <v>10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480</v>
      </c>
      <c r="E30" s="189">
        <f t="shared" si="16"/>
        <v>480</v>
      </c>
      <c r="F30" s="189">
        <f t="shared" si="16"/>
        <v>416</v>
      </c>
      <c r="G30" s="189">
        <f t="shared" si="16"/>
        <v>416</v>
      </c>
      <c r="H30" s="189">
        <f t="shared" si="16"/>
        <v>0</v>
      </c>
      <c r="I30" s="189">
        <f t="shared" si="16"/>
        <v>0</v>
      </c>
      <c r="J30" s="189">
        <f t="shared" si="16"/>
        <v>40</v>
      </c>
      <c r="K30" s="189">
        <f t="shared" si="16"/>
        <v>32</v>
      </c>
      <c r="L30" s="189">
        <f t="shared" si="16"/>
        <v>48</v>
      </c>
      <c r="M30" s="189">
        <f t="shared" si="16"/>
        <v>40</v>
      </c>
      <c r="N30" s="189">
        <f t="shared" si="16"/>
        <v>40</v>
      </c>
      <c r="O30" s="189">
        <f t="shared" si="16"/>
        <v>0</v>
      </c>
      <c r="P30" s="189">
        <f t="shared" si="16"/>
        <v>0</v>
      </c>
      <c r="Q30" s="189">
        <f t="shared" si="16"/>
        <v>40</v>
      </c>
      <c r="R30" s="189">
        <f t="shared" si="16"/>
        <v>48</v>
      </c>
      <c r="S30" s="189">
        <f t="shared" si="16"/>
        <v>48</v>
      </c>
      <c r="T30" s="189">
        <f t="shared" si="16"/>
        <v>40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144</v>
      </c>
      <c r="C35" s="154">
        <f t="shared" si="17"/>
        <v>160</v>
      </c>
      <c r="D35" s="155">
        <f t="shared" si="18"/>
        <v>144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144</v>
      </c>
      <c r="C38" s="159">
        <f t="shared" si="17"/>
        <v>160</v>
      </c>
      <c r="D38" s="160">
        <f t="shared" si="18"/>
        <v>144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AI1000"/>
  <sheetViews>
    <sheetView showGridLines="0" workbookViewId="0">
      <pane xSplit="2" topLeftCell="C1" activePane="topRight" state="frozen"/>
      <selection pane="topRight" activeCell="A7" sqref="A7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45658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45658</v>
      </c>
      <c r="J3" s="14">
        <f t="shared" ref="J3:W3" si="0">I3+1</f>
        <v>45659</v>
      </c>
      <c r="K3" s="14">
        <f t="shared" si="0"/>
        <v>45660</v>
      </c>
      <c r="L3" s="14">
        <f t="shared" si="0"/>
        <v>45661</v>
      </c>
      <c r="M3" s="14">
        <f t="shared" si="0"/>
        <v>45662</v>
      </c>
      <c r="N3" s="14">
        <f t="shared" si="0"/>
        <v>45663</v>
      </c>
      <c r="O3" s="14">
        <f t="shared" si="0"/>
        <v>45664</v>
      </c>
      <c r="P3" s="14">
        <f t="shared" si="0"/>
        <v>45665</v>
      </c>
      <c r="Q3" s="14">
        <f t="shared" si="0"/>
        <v>45666</v>
      </c>
      <c r="R3" s="14">
        <f t="shared" si="0"/>
        <v>45667</v>
      </c>
      <c r="S3" s="14">
        <f t="shared" si="0"/>
        <v>45668</v>
      </c>
      <c r="T3" s="14">
        <f t="shared" si="0"/>
        <v>45669</v>
      </c>
      <c r="U3" s="14">
        <f t="shared" si="0"/>
        <v>45670</v>
      </c>
      <c r="V3" s="14">
        <f t="shared" si="0"/>
        <v>45671</v>
      </c>
      <c r="W3" s="14">
        <f t="shared" si="0"/>
        <v>45672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1"/>
      <c r="J6" s="32">
        <v>4</v>
      </c>
      <c r="K6" s="32">
        <v>4</v>
      </c>
      <c r="L6" s="33"/>
      <c r="M6" s="33"/>
      <c r="N6" s="32">
        <v>4</v>
      </c>
      <c r="O6" s="32">
        <v>4</v>
      </c>
      <c r="P6" s="32">
        <v>4</v>
      </c>
      <c r="Q6" s="32">
        <v>4</v>
      </c>
      <c r="R6" s="32">
        <v>4</v>
      </c>
      <c r="S6" s="33"/>
      <c r="T6" s="33"/>
      <c r="U6" s="32">
        <v>4</v>
      </c>
      <c r="V6" s="32">
        <v>4</v>
      </c>
      <c r="W6" s="32">
        <v>4</v>
      </c>
      <c r="X6" s="29"/>
      <c r="Y6" s="34">
        <v>10</v>
      </c>
      <c r="Z6" s="13"/>
      <c r="AA6" s="13"/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2">
        <v>8</v>
      </c>
      <c r="S7" s="33"/>
      <c r="T7" s="33"/>
      <c r="U7" s="32">
        <v>8</v>
      </c>
      <c r="V7" s="32">
        <v>8</v>
      </c>
      <c r="W7" s="32">
        <v>8</v>
      </c>
      <c r="X7" s="29">
        <f t="shared" ref="X7:X15" si="6">Y7-COUNTA(I7:W7)</f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64</v>
      </c>
      <c r="G8" s="29">
        <f t="shared" si="5"/>
        <v>64</v>
      </c>
      <c r="H8" s="30">
        <v>0</v>
      </c>
      <c r="I8" s="31"/>
      <c r="J8" s="32">
        <v>8</v>
      </c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8"/>
      <c r="V8" s="38"/>
      <c r="W8" s="32">
        <v>8</v>
      </c>
      <c r="X8" s="29">
        <f t="shared" si="6"/>
        <v>2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2">
        <v>8</v>
      </c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1"/>
      <c r="J11" s="32">
        <v>4</v>
      </c>
      <c r="K11" s="32">
        <v>4</v>
      </c>
      <c r="L11" s="33"/>
      <c r="M11" s="33"/>
      <c r="N11" s="32">
        <v>4</v>
      </c>
      <c r="O11" s="32">
        <v>4</v>
      </c>
      <c r="P11" s="32">
        <v>4</v>
      </c>
      <c r="Q11" s="32">
        <v>4</v>
      </c>
      <c r="R11" s="38"/>
      <c r="S11" s="42"/>
      <c r="T11" s="192"/>
      <c r="U11" s="43">
        <v>4</v>
      </c>
      <c r="V11" s="32">
        <v>4</v>
      </c>
      <c r="W11" s="32">
        <v>4</v>
      </c>
      <c r="X11" s="29">
        <f t="shared" si="6"/>
        <v>1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560</v>
      </c>
      <c r="E16" s="194">
        <f t="shared" si="8"/>
        <v>560</v>
      </c>
      <c r="F16" s="194">
        <f t="shared" si="8"/>
        <v>460</v>
      </c>
      <c r="G16" s="194">
        <f t="shared" si="8"/>
        <v>460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44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45673</v>
      </c>
      <c r="J19" s="44">
        <f t="shared" ref="J19:X19" si="9">I19+1</f>
        <v>45674</v>
      </c>
      <c r="K19" s="44">
        <f t="shared" si="9"/>
        <v>45675</v>
      </c>
      <c r="L19" s="14">
        <f t="shared" si="9"/>
        <v>45676</v>
      </c>
      <c r="M19" s="44">
        <f t="shared" si="9"/>
        <v>45677</v>
      </c>
      <c r="N19" s="44">
        <f t="shared" si="9"/>
        <v>45678</v>
      </c>
      <c r="O19" s="44">
        <f t="shared" si="9"/>
        <v>45679</v>
      </c>
      <c r="P19" s="44">
        <f t="shared" si="9"/>
        <v>45680</v>
      </c>
      <c r="Q19" s="44">
        <f t="shared" si="9"/>
        <v>45681</v>
      </c>
      <c r="R19" s="44">
        <f t="shared" si="9"/>
        <v>45682</v>
      </c>
      <c r="S19" s="44">
        <f t="shared" si="9"/>
        <v>45683</v>
      </c>
      <c r="T19" s="44">
        <f t="shared" si="9"/>
        <v>45684</v>
      </c>
      <c r="U19" s="44">
        <f t="shared" si="9"/>
        <v>45685</v>
      </c>
      <c r="V19" s="44">
        <f t="shared" si="9"/>
        <v>45686</v>
      </c>
      <c r="W19" s="44">
        <f t="shared" si="9"/>
        <v>45687</v>
      </c>
      <c r="X19" s="44">
        <f t="shared" si="9"/>
        <v>45688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1" t="str">
        <f t="shared" si="10"/>
        <v>Thu</v>
      </c>
      <c r="X20" s="21" t="str">
        <f t="shared" si="10"/>
        <v>Fri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96</v>
      </c>
      <c r="E21" s="29">
        <f t="shared" ref="E21:E27" si="12">Z21*8</f>
        <v>96</v>
      </c>
      <c r="F21" s="29">
        <f t="shared" ref="F21:F27" si="13">G21+H21</f>
        <v>96</v>
      </c>
      <c r="G21" s="29">
        <f t="shared" ref="G21:G27" si="14">SUM(I21:X21)</f>
        <v>96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2">
        <v>8</v>
      </c>
      <c r="Q21" s="32">
        <v>8</v>
      </c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7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44</v>
      </c>
      <c r="G22" s="29">
        <f t="shared" si="14"/>
        <v>44</v>
      </c>
      <c r="H22" s="30">
        <v>0</v>
      </c>
      <c r="I22" s="32">
        <v>4</v>
      </c>
      <c r="J22" s="32">
        <v>4</v>
      </c>
      <c r="K22" s="33"/>
      <c r="L22" s="33"/>
      <c r="M22" s="32">
        <v>4</v>
      </c>
      <c r="N22" s="32">
        <v>4</v>
      </c>
      <c r="O22" s="32">
        <v>4</v>
      </c>
      <c r="P22" s="38"/>
      <c r="Q22" s="32">
        <v>4</v>
      </c>
      <c r="R22" s="33"/>
      <c r="S22" s="33"/>
      <c r="T22" s="32">
        <v>4</v>
      </c>
      <c r="U22" s="32">
        <v>4</v>
      </c>
      <c r="V22" s="46">
        <v>4</v>
      </c>
      <c r="W22" s="32">
        <v>4</v>
      </c>
      <c r="X22" s="32">
        <v>4</v>
      </c>
      <c r="Y22" s="29">
        <f t="shared" si="15"/>
        <v>1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3"/>
      <c r="L23" s="33"/>
      <c r="M23" s="32">
        <v>8</v>
      </c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96</v>
      </c>
      <c r="G25" s="29">
        <f t="shared" si="14"/>
        <v>96</v>
      </c>
      <c r="H25" s="30">
        <v>0</v>
      </c>
      <c r="I25" s="32">
        <v>8</v>
      </c>
      <c r="J25" s="32">
        <v>8</v>
      </c>
      <c r="K25" s="33"/>
      <c r="L25" s="33"/>
      <c r="M25" s="32">
        <v>8</v>
      </c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0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8"/>
      <c r="K26" s="33"/>
      <c r="L26" s="33"/>
      <c r="M26" s="32">
        <v>8</v>
      </c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46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36</v>
      </c>
      <c r="G27" s="29">
        <f t="shared" si="14"/>
        <v>36</v>
      </c>
      <c r="H27" s="30">
        <v>0</v>
      </c>
      <c r="I27" s="38"/>
      <c r="J27" s="38"/>
      <c r="K27" s="33"/>
      <c r="L27" s="33"/>
      <c r="M27" s="32">
        <v>4</v>
      </c>
      <c r="N27" s="48">
        <v>4</v>
      </c>
      <c r="O27" s="48">
        <v>4</v>
      </c>
      <c r="P27" s="48">
        <v>4</v>
      </c>
      <c r="Q27" s="48">
        <v>4</v>
      </c>
      <c r="R27" s="47"/>
      <c r="S27" s="47"/>
      <c r="T27" s="48">
        <v>4</v>
      </c>
      <c r="U27" s="48">
        <v>4</v>
      </c>
      <c r="V27" s="48">
        <v>4</v>
      </c>
      <c r="W27" s="32">
        <v>4</v>
      </c>
      <c r="X27" s="38"/>
      <c r="Y27" s="29">
        <f t="shared" si="15"/>
        <v>3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672</v>
      </c>
      <c r="E32" s="194">
        <f t="shared" si="16"/>
        <v>672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44</v>
      </c>
      <c r="J32" s="194">
        <f t="shared" si="16"/>
        <v>36</v>
      </c>
      <c r="K32" s="194">
        <f t="shared" si="16"/>
        <v>0</v>
      </c>
      <c r="L32" s="194">
        <f t="shared" si="16"/>
        <v>0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44</v>
      </c>
      <c r="Q32" s="194">
        <f t="shared" si="16"/>
        <v>48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176</v>
      </c>
      <c r="C36" s="60">
        <f t="shared" ref="C36:C42" si="18">E5+E21</f>
        <v>176</v>
      </c>
      <c r="D36" s="61">
        <f t="shared" ref="D36:D42" si="19">B36</f>
        <v>176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84</v>
      </c>
      <c r="C37" s="60">
        <f t="shared" si="18"/>
        <v>176</v>
      </c>
      <c r="D37" s="61">
        <f t="shared" si="19"/>
        <v>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176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176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176</v>
      </c>
      <c r="C40" s="60">
        <f t="shared" si="18"/>
        <v>176</v>
      </c>
      <c r="D40" s="61">
        <f t="shared" si="19"/>
        <v>176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176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72</v>
      </c>
      <c r="C42" s="67">
        <f t="shared" si="18"/>
        <v>176</v>
      </c>
      <c r="D42" s="68">
        <f t="shared" si="19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10</v>
      </c>
      <c r="C53" s="81">
        <f t="shared" si="25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6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12</v>
      </c>
      <c r="C60" s="81">
        <f t="shared" si="27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45323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45323</v>
      </c>
      <c r="J3" s="14">
        <f t="shared" ref="J3:W3" si="0">I3+1</f>
        <v>45324</v>
      </c>
      <c r="K3" s="14">
        <f t="shared" si="0"/>
        <v>45325</v>
      </c>
      <c r="L3" s="14">
        <f t="shared" si="0"/>
        <v>45326</v>
      </c>
      <c r="M3" s="14">
        <f t="shared" si="0"/>
        <v>45327</v>
      </c>
      <c r="N3" s="14">
        <f t="shared" si="0"/>
        <v>45328</v>
      </c>
      <c r="O3" s="14">
        <f t="shared" si="0"/>
        <v>45329</v>
      </c>
      <c r="P3" s="14">
        <f t="shared" si="0"/>
        <v>45330</v>
      </c>
      <c r="Q3" s="14">
        <f t="shared" si="0"/>
        <v>45331</v>
      </c>
      <c r="R3" s="14">
        <f t="shared" si="0"/>
        <v>45332</v>
      </c>
      <c r="S3" s="14">
        <f t="shared" si="0"/>
        <v>45333</v>
      </c>
      <c r="T3" s="14">
        <f t="shared" si="0"/>
        <v>45334</v>
      </c>
      <c r="U3" s="14">
        <f t="shared" si="0"/>
        <v>45335</v>
      </c>
      <c r="V3" s="14">
        <f t="shared" si="0"/>
        <v>45336</v>
      </c>
      <c r="W3" s="14">
        <f t="shared" si="0"/>
        <v>45337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88</v>
      </c>
      <c r="G5" s="29">
        <f t="shared" ref="G5:G11" si="5">SUM(I5:W5)</f>
        <v>88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2">
        <v>8</v>
      </c>
      <c r="K7" s="33"/>
      <c r="L7" s="33"/>
      <c r="M7" s="32">
        <v>8</v>
      </c>
      <c r="N7" s="32">
        <v>8</v>
      </c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8"/>
      <c r="U8" s="32">
        <v>8</v>
      </c>
      <c r="V8" s="32">
        <v>8</v>
      </c>
      <c r="W8" s="32">
        <v>8</v>
      </c>
      <c r="X8" s="29">
        <f t="shared" si="6"/>
        <v>1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8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512</v>
      </c>
      <c r="G16" s="194">
        <f t="shared" si="8"/>
        <v>512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48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32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45338</v>
      </c>
      <c r="J19" s="44">
        <f t="shared" ref="J19:V19" si="9">I19+1</f>
        <v>45339</v>
      </c>
      <c r="K19" s="44">
        <f t="shared" si="9"/>
        <v>45340</v>
      </c>
      <c r="L19" s="14">
        <f t="shared" si="9"/>
        <v>45341</v>
      </c>
      <c r="M19" s="44">
        <f t="shared" si="9"/>
        <v>45342</v>
      </c>
      <c r="N19" s="44">
        <f t="shared" si="9"/>
        <v>45343</v>
      </c>
      <c r="O19" s="44">
        <f t="shared" si="9"/>
        <v>45344</v>
      </c>
      <c r="P19" s="44">
        <f t="shared" si="9"/>
        <v>45345</v>
      </c>
      <c r="Q19" s="44">
        <f t="shared" si="9"/>
        <v>45346</v>
      </c>
      <c r="R19" s="44">
        <f t="shared" si="9"/>
        <v>45347</v>
      </c>
      <c r="S19" s="44">
        <f t="shared" si="9"/>
        <v>45348</v>
      </c>
      <c r="T19" s="44">
        <f t="shared" si="9"/>
        <v>45349</v>
      </c>
      <c r="U19" s="44">
        <f t="shared" si="9"/>
        <v>45350</v>
      </c>
      <c r="V19" s="44">
        <f t="shared" si="9"/>
        <v>45351</v>
      </c>
      <c r="W19" s="91"/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V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32"/>
      <c r="X20" s="32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80</v>
      </c>
      <c r="E21" s="29">
        <f t="shared" ref="E21:E27" si="12">Z21*8</f>
        <v>80</v>
      </c>
      <c r="F21" s="29">
        <f t="shared" ref="F21:F27" si="13">G21+H21</f>
        <v>80</v>
      </c>
      <c r="G21" s="29">
        <f t="shared" ref="G21:G27" si="14">SUM(I21:X21)</f>
        <v>80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/>
      <c r="X21" s="32"/>
      <c r="Y21" s="29">
        <f t="shared" ref="Y21:Y27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64</v>
      </c>
      <c r="G22" s="29">
        <f t="shared" si="14"/>
        <v>64</v>
      </c>
      <c r="H22" s="30">
        <v>0</v>
      </c>
      <c r="I22" s="32">
        <v>8</v>
      </c>
      <c r="J22" s="33"/>
      <c r="K22" s="33"/>
      <c r="L22" s="32">
        <v>8</v>
      </c>
      <c r="M22" s="32">
        <v>8</v>
      </c>
      <c r="N22" s="38"/>
      <c r="O22" s="32">
        <v>8</v>
      </c>
      <c r="P22" s="38"/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/>
      <c r="X22" s="32"/>
      <c r="Y22" s="29">
        <f t="shared" si="15"/>
        <v>2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8"/>
      <c r="U23" s="32">
        <v>8</v>
      </c>
      <c r="V23" s="46">
        <v>8</v>
      </c>
      <c r="W23" s="32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/>
      <c r="X24" s="32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2">
        <v>8</v>
      </c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46">
        <v>8</v>
      </c>
      <c r="W26" s="32"/>
      <c r="X26" s="32"/>
      <c r="Y26" s="29">
        <f t="shared" si="15"/>
        <v>0</v>
      </c>
      <c r="Z26" s="34">
        <v>10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0</v>
      </c>
      <c r="G27" s="29">
        <f t="shared" si="14"/>
        <v>0</v>
      </c>
      <c r="H27" s="30">
        <v>0</v>
      </c>
      <c r="I27" s="32"/>
      <c r="J27" s="32"/>
      <c r="K27" s="33"/>
      <c r="L27" s="33"/>
      <c r="M27" s="32"/>
      <c r="N27" s="48"/>
      <c r="O27" s="48"/>
      <c r="P27" s="48"/>
      <c r="Q27" s="48"/>
      <c r="R27" s="47"/>
      <c r="S27" s="47"/>
      <c r="T27" s="48"/>
      <c r="U27" s="48"/>
      <c r="V27" s="48"/>
      <c r="W27" s="32"/>
      <c r="X27" s="32"/>
      <c r="Y27" s="29">
        <f t="shared" si="15"/>
        <v>12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48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40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2" si="18">E5+E21</f>
        <v>168</v>
      </c>
      <c r="D36" s="61">
        <f t="shared" ref="D36:D42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176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10</v>
      </c>
      <c r="C60" s="81">
        <f t="shared" si="27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45352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45352</v>
      </c>
      <c r="J3" s="14">
        <f t="shared" ref="J3:W3" si="0">I3+1</f>
        <v>45353</v>
      </c>
      <c r="K3" s="14">
        <f t="shared" si="0"/>
        <v>45354</v>
      </c>
      <c r="L3" s="14">
        <f t="shared" si="0"/>
        <v>45355</v>
      </c>
      <c r="M3" s="14">
        <f t="shared" si="0"/>
        <v>45356</v>
      </c>
      <c r="N3" s="14">
        <f t="shared" si="0"/>
        <v>45357</v>
      </c>
      <c r="O3" s="14">
        <f t="shared" si="0"/>
        <v>45358</v>
      </c>
      <c r="P3" s="14">
        <f t="shared" si="0"/>
        <v>45359</v>
      </c>
      <c r="Q3" s="14">
        <f t="shared" si="0"/>
        <v>45360</v>
      </c>
      <c r="R3" s="14">
        <f t="shared" si="0"/>
        <v>45361</v>
      </c>
      <c r="S3" s="14">
        <f t="shared" si="0"/>
        <v>45362</v>
      </c>
      <c r="T3" s="14">
        <f t="shared" si="0"/>
        <v>45363</v>
      </c>
      <c r="U3" s="14">
        <f t="shared" si="0"/>
        <v>45364</v>
      </c>
      <c r="V3" s="14">
        <f t="shared" si="0"/>
        <v>45365</v>
      </c>
      <c r="W3" s="14">
        <f t="shared" si="0"/>
        <v>45366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2">
        <v>8</v>
      </c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8"/>
      <c r="W5" s="32">
        <v>8</v>
      </c>
      <c r="X5" s="29">
        <f t="shared" ref="X5:X15" si="6">Y5-COUNTA(I5:W5)</f>
        <v>1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72</v>
      </c>
      <c r="G6" s="29">
        <f t="shared" si="5"/>
        <v>72</v>
      </c>
      <c r="H6" s="30">
        <v>0</v>
      </c>
      <c r="I6" s="32">
        <v>8</v>
      </c>
      <c r="J6" s="33"/>
      <c r="K6" s="33"/>
      <c r="L6" s="32">
        <v>8</v>
      </c>
      <c r="M6" s="38"/>
      <c r="N6" s="38"/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2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3"/>
      <c r="K9" s="33"/>
      <c r="L9" s="32">
        <v>8</v>
      </c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88</v>
      </c>
      <c r="G10" s="29">
        <f t="shared" si="5"/>
        <v>88</v>
      </c>
      <c r="H10" s="30">
        <v>0</v>
      </c>
      <c r="I10" s="32">
        <v>8</v>
      </c>
      <c r="J10" s="33"/>
      <c r="K10" s="33"/>
      <c r="L10" s="32">
        <v>8</v>
      </c>
      <c r="M10" s="32">
        <v>8</v>
      </c>
      <c r="N10" s="32">
        <v>8</v>
      </c>
      <c r="O10" s="32">
        <v>8</v>
      </c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0</v>
      </c>
      <c r="L16" s="194">
        <f t="shared" si="8"/>
        <v>48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45367</v>
      </c>
      <c r="J19" s="44">
        <f t="shared" ref="J19:X19" si="9">I19+1</f>
        <v>45368</v>
      </c>
      <c r="K19" s="44">
        <f t="shared" si="9"/>
        <v>45369</v>
      </c>
      <c r="L19" s="14">
        <f t="shared" si="9"/>
        <v>45370</v>
      </c>
      <c r="M19" s="44">
        <f t="shared" si="9"/>
        <v>45371</v>
      </c>
      <c r="N19" s="44">
        <f t="shared" si="9"/>
        <v>45372</v>
      </c>
      <c r="O19" s="44">
        <f t="shared" si="9"/>
        <v>45373</v>
      </c>
      <c r="P19" s="44">
        <f t="shared" si="9"/>
        <v>45374</v>
      </c>
      <c r="Q19" s="44">
        <f t="shared" si="9"/>
        <v>45375</v>
      </c>
      <c r="R19" s="44">
        <f t="shared" si="9"/>
        <v>45376</v>
      </c>
      <c r="S19" s="44">
        <f t="shared" si="9"/>
        <v>45377</v>
      </c>
      <c r="T19" s="44">
        <f t="shared" si="9"/>
        <v>45378</v>
      </c>
      <c r="U19" s="44">
        <f t="shared" si="9"/>
        <v>45379</v>
      </c>
      <c r="V19" s="44">
        <f t="shared" si="9"/>
        <v>45380</v>
      </c>
      <c r="W19" s="44">
        <f t="shared" si="9"/>
        <v>45381</v>
      </c>
      <c r="X19" s="44">
        <f t="shared" si="9"/>
        <v>45382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22" t="str">
        <f t="shared" si="10"/>
        <v>Sun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72</v>
      </c>
      <c r="E21" s="29">
        <f t="shared" ref="E21:E26" si="12">Z21*8</f>
        <v>72</v>
      </c>
      <c r="F21" s="29">
        <f t="shared" ref="F21:F27" si="13">G21+H21</f>
        <v>64</v>
      </c>
      <c r="G21" s="29">
        <f t="shared" ref="G21:G26" si="14">SUM(I21:X21)</f>
        <v>64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8"/>
      <c r="O21" s="32">
        <v>8</v>
      </c>
      <c r="P21" s="33"/>
      <c r="Q21" s="33"/>
      <c r="R21" s="31"/>
      <c r="S21" s="32">
        <v>8</v>
      </c>
      <c r="T21" s="32">
        <v>8</v>
      </c>
      <c r="U21" s="32">
        <v>8</v>
      </c>
      <c r="V21" s="46">
        <v>8</v>
      </c>
      <c r="W21" s="33"/>
      <c r="X21" s="33"/>
      <c r="Y21" s="29">
        <f t="shared" ref="Y21:Y26" si="15">Z21-COUNTA(I21:X21)</f>
        <v>1</v>
      </c>
      <c r="Z21" s="34">
        <v>9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72</v>
      </c>
      <c r="E22" s="29">
        <f t="shared" si="12"/>
        <v>72</v>
      </c>
      <c r="F22" s="29">
        <f t="shared" si="13"/>
        <v>64</v>
      </c>
      <c r="G22" s="29">
        <f t="shared" si="14"/>
        <v>64</v>
      </c>
      <c r="H22" s="30">
        <v>0</v>
      </c>
      <c r="I22" s="33"/>
      <c r="J22" s="33"/>
      <c r="K22" s="32">
        <v>8</v>
      </c>
      <c r="L22" s="38"/>
      <c r="M22" s="32">
        <v>8</v>
      </c>
      <c r="N22" s="32">
        <v>8</v>
      </c>
      <c r="O22" s="32">
        <v>8</v>
      </c>
      <c r="P22" s="33"/>
      <c r="Q22" s="33"/>
      <c r="R22" s="31"/>
      <c r="S22" s="32">
        <v>8</v>
      </c>
      <c r="T22" s="32">
        <v>8</v>
      </c>
      <c r="U22" s="32">
        <v>8</v>
      </c>
      <c r="V22" s="46">
        <v>8</v>
      </c>
      <c r="W22" s="33"/>
      <c r="X22" s="33"/>
      <c r="Y22" s="29">
        <f t="shared" si="15"/>
        <v>1</v>
      </c>
      <c r="Z22" s="34">
        <v>9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72</v>
      </c>
      <c r="E23" s="29">
        <f t="shared" si="12"/>
        <v>72</v>
      </c>
      <c r="F23" s="29">
        <f t="shared" si="13"/>
        <v>64</v>
      </c>
      <c r="G23" s="29">
        <f t="shared" si="14"/>
        <v>64</v>
      </c>
      <c r="H23" s="30">
        <v>0</v>
      </c>
      <c r="I23" s="33"/>
      <c r="J23" s="33"/>
      <c r="K23" s="38"/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92"/>
      <c r="S23" s="32">
        <v>8</v>
      </c>
      <c r="T23" s="32">
        <v>8</v>
      </c>
      <c r="U23" s="32">
        <v>8</v>
      </c>
      <c r="V23" s="46">
        <v>8</v>
      </c>
      <c r="W23" s="33"/>
      <c r="X23" s="33"/>
      <c r="Y23" s="29">
        <f t="shared" si="15"/>
        <v>1</v>
      </c>
      <c r="Z23" s="34">
        <v>9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72</v>
      </c>
      <c r="E24" s="29">
        <f t="shared" si="12"/>
        <v>72</v>
      </c>
      <c r="F24" s="29">
        <f t="shared" si="13"/>
        <v>64</v>
      </c>
      <c r="G24" s="29">
        <f t="shared" si="14"/>
        <v>64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1"/>
      <c r="S24" s="32">
        <v>8</v>
      </c>
      <c r="T24" s="32">
        <v>8</v>
      </c>
      <c r="U24" s="38"/>
      <c r="V24" s="46">
        <v>8</v>
      </c>
      <c r="W24" s="33"/>
      <c r="X24" s="33"/>
      <c r="Y24" s="29">
        <f t="shared" si="15"/>
        <v>1</v>
      </c>
      <c r="Z24" s="34">
        <v>9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72</v>
      </c>
      <c r="E25" s="29">
        <f t="shared" si="12"/>
        <v>72</v>
      </c>
      <c r="F25" s="29">
        <f t="shared" si="13"/>
        <v>72</v>
      </c>
      <c r="G25" s="29">
        <f t="shared" si="14"/>
        <v>72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92"/>
      <c r="S25" s="32">
        <v>8</v>
      </c>
      <c r="T25" s="32">
        <v>8</v>
      </c>
      <c r="U25" s="32">
        <v>8</v>
      </c>
      <c r="V25" s="46">
        <v>8</v>
      </c>
      <c r="W25" s="33"/>
      <c r="X25" s="33"/>
      <c r="Y25" s="29">
        <f t="shared" si="15"/>
        <v>0</v>
      </c>
      <c r="Z25" s="34">
        <v>9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72</v>
      </c>
      <c r="E26" s="29">
        <f t="shared" si="12"/>
        <v>72</v>
      </c>
      <c r="F26" s="29">
        <f t="shared" si="13"/>
        <v>48</v>
      </c>
      <c r="G26" s="29">
        <f t="shared" si="14"/>
        <v>48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1"/>
      <c r="S26" s="38"/>
      <c r="T26" s="38"/>
      <c r="U26" s="32">
        <v>8</v>
      </c>
      <c r="V26" s="38"/>
      <c r="W26" s="33"/>
      <c r="X26" s="33"/>
      <c r="Y26" s="29">
        <f t="shared" si="15"/>
        <v>3</v>
      </c>
      <c r="Z26" s="34">
        <v>9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80</v>
      </c>
      <c r="E27" s="29">
        <f>Y27*8</f>
        <v>80</v>
      </c>
      <c r="F27" s="29">
        <f t="shared" si="13"/>
        <v>0</v>
      </c>
      <c r="G27" s="29">
        <f>SUM(I27:W27)</f>
        <v>0</v>
      </c>
      <c r="H27" s="30">
        <v>0</v>
      </c>
      <c r="I27" s="31"/>
      <c r="J27" s="32"/>
      <c r="K27" s="32"/>
      <c r="L27" s="33"/>
      <c r="M27" s="33"/>
      <c r="N27" s="32"/>
      <c r="O27" s="32"/>
      <c r="P27" s="32"/>
      <c r="Q27" s="32"/>
      <c r="R27" s="32"/>
      <c r="S27" s="42"/>
      <c r="T27" s="192"/>
      <c r="U27" s="43"/>
      <c r="V27" s="32"/>
      <c r="W27" s="32"/>
      <c r="X27" s="29">
        <f>Y27-COUNTA(I27:W27)</f>
        <v>10</v>
      </c>
      <c r="Y27" s="34">
        <v>10</v>
      </c>
      <c r="Z27" s="13"/>
      <c r="AA27" s="15"/>
      <c r="AB27" s="24"/>
      <c r="AC27" s="25"/>
      <c r="AD27" s="25"/>
      <c r="AE27" s="25"/>
      <c r="AF27" s="25"/>
      <c r="AG27" s="2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512</v>
      </c>
      <c r="E32" s="194">
        <f t="shared" si="16"/>
        <v>512</v>
      </c>
      <c r="F32" s="194">
        <f t="shared" si="16"/>
        <v>376</v>
      </c>
      <c r="G32" s="194">
        <f t="shared" si="16"/>
        <v>376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40</v>
      </c>
      <c r="L32" s="194">
        <f t="shared" si="16"/>
        <v>40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0</v>
      </c>
      <c r="S32" s="194">
        <f t="shared" si="16"/>
        <v>40</v>
      </c>
      <c r="T32" s="194">
        <f t="shared" si="16"/>
        <v>40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144</v>
      </c>
      <c r="C36" s="60">
        <f t="shared" ref="C36:C42" si="18">E5+E21</f>
        <v>160</v>
      </c>
      <c r="D36" s="61">
        <f t="shared" ref="D36:D42" si="19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136</v>
      </c>
      <c r="C37" s="60">
        <f t="shared" si="18"/>
        <v>160</v>
      </c>
      <c r="D37" s="61">
        <f t="shared" si="19"/>
        <v>136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160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136</v>
      </c>
      <c r="C41" s="67">
        <f t="shared" si="18"/>
        <v>160</v>
      </c>
      <c r="D41" s="68">
        <f t="shared" si="19"/>
        <v>136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160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6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9</v>
      </c>
      <c r="C60" s="81">
        <f t="shared" si="27"/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45383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45383</v>
      </c>
      <c r="J3" s="14">
        <f t="shared" ref="J3:W3" si="0">I3+1</f>
        <v>45384</v>
      </c>
      <c r="K3" s="14">
        <f t="shared" si="0"/>
        <v>45385</v>
      </c>
      <c r="L3" s="14">
        <f t="shared" si="0"/>
        <v>45386</v>
      </c>
      <c r="M3" s="14">
        <f t="shared" si="0"/>
        <v>45387</v>
      </c>
      <c r="N3" s="14">
        <f t="shared" si="0"/>
        <v>45388</v>
      </c>
      <c r="O3" s="14">
        <f t="shared" si="0"/>
        <v>45389</v>
      </c>
      <c r="P3" s="14">
        <f t="shared" si="0"/>
        <v>45390</v>
      </c>
      <c r="Q3" s="14">
        <f t="shared" si="0"/>
        <v>45391</v>
      </c>
      <c r="R3" s="14">
        <f t="shared" si="0"/>
        <v>45392</v>
      </c>
      <c r="S3" s="14">
        <f t="shared" si="0"/>
        <v>45393</v>
      </c>
      <c r="T3" s="14">
        <f t="shared" si="0"/>
        <v>45394</v>
      </c>
      <c r="U3" s="14">
        <f t="shared" si="0"/>
        <v>45395</v>
      </c>
      <c r="V3" s="14">
        <f t="shared" si="0"/>
        <v>45396</v>
      </c>
      <c r="W3" s="14">
        <f t="shared" si="0"/>
        <v>45397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1"/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1"/>
      <c r="T6" s="32">
        <v>8</v>
      </c>
      <c r="U6" s="33"/>
      <c r="V6" s="33"/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1"/>
      <c r="T7" s="32">
        <v>8</v>
      </c>
      <c r="U7" s="33"/>
      <c r="V7" s="33"/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1"/>
      <c r="T8" s="32">
        <v>8</v>
      </c>
      <c r="U8" s="33"/>
      <c r="V8" s="33"/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1"/>
      <c r="T9" s="32">
        <v>8</v>
      </c>
      <c r="U9" s="33"/>
      <c r="V9" s="33"/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1"/>
      <c r="T10" s="38"/>
      <c r="U10" s="33"/>
      <c r="V10" s="33"/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472</v>
      </c>
      <c r="G16" s="194">
        <f t="shared" si="8"/>
        <v>472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0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45398</v>
      </c>
      <c r="J19" s="44">
        <f t="shared" ref="J19:W19" si="9">I19+1</f>
        <v>45399</v>
      </c>
      <c r="K19" s="44">
        <f t="shared" si="9"/>
        <v>45400</v>
      </c>
      <c r="L19" s="14">
        <f t="shared" si="9"/>
        <v>45401</v>
      </c>
      <c r="M19" s="44">
        <f t="shared" si="9"/>
        <v>45402</v>
      </c>
      <c r="N19" s="44">
        <f t="shared" si="9"/>
        <v>45403</v>
      </c>
      <c r="O19" s="44">
        <f t="shared" si="9"/>
        <v>45404</v>
      </c>
      <c r="P19" s="44">
        <f t="shared" si="9"/>
        <v>45405</v>
      </c>
      <c r="Q19" s="44">
        <f t="shared" si="9"/>
        <v>45406</v>
      </c>
      <c r="R19" s="44">
        <f t="shared" si="9"/>
        <v>45407</v>
      </c>
      <c r="S19" s="44">
        <f t="shared" si="9"/>
        <v>45408</v>
      </c>
      <c r="T19" s="44">
        <f t="shared" si="9"/>
        <v>45409</v>
      </c>
      <c r="U19" s="44">
        <f t="shared" si="9"/>
        <v>45410</v>
      </c>
      <c r="V19" s="44">
        <f t="shared" si="9"/>
        <v>45411</v>
      </c>
      <c r="W19" s="44">
        <f t="shared" si="9"/>
        <v>45412</v>
      </c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46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2">
        <v>8</v>
      </c>
      <c r="L21" s="38"/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32"/>
      <c r="Y21" s="29">
        <f t="shared" ref="Y21:Y26" si="15">Z21-COUNTA(I21:X21)</f>
        <v>1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72</v>
      </c>
      <c r="G22" s="29">
        <f t="shared" si="14"/>
        <v>72</v>
      </c>
      <c r="H22" s="30">
        <v>0</v>
      </c>
      <c r="I22" s="32">
        <v>8</v>
      </c>
      <c r="J22" s="38"/>
      <c r="K22" s="32">
        <v>8</v>
      </c>
      <c r="L22" s="38"/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32"/>
      <c r="Y22" s="29">
        <f t="shared" si="15"/>
        <v>2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2">
        <v>8</v>
      </c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2">
        <v>8</v>
      </c>
      <c r="S26" s="32">
        <v>8</v>
      </c>
      <c r="T26" s="33"/>
      <c r="U26" s="33"/>
      <c r="V26" s="32">
        <v>8</v>
      </c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504</v>
      </c>
      <c r="G32" s="194">
        <f t="shared" si="16"/>
        <v>504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32</v>
      </c>
      <c r="M32" s="194">
        <f t="shared" si="16"/>
        <v>0</v>
      </c>
      <c r="N32" s="194">
        <f t="shared" si="16"/>
        <v>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45413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45413</v>
      </c>
      <c r="J3" s="14">
        <f t="shared" ref="J3:W3" si="0">I3+1</f>
        <v>45414</v>
      </c>
      <c r="K3" s="14">
        <f t="shared" si="0"/>
        <v>45415</v>
      </c>
      <c r="L3" s="14">
        <f t="shared" si="0"/>
        <v>45416</v>
      </c>
      <c r="M3" s="14">
        <f t="shared" si="0"/>
        <v>45417</v>
      </c>
      <c r="N3" s="14">
        <f t="shared" si="0"/>
        <v>45418</v>
      </c>
      <c r="O3" s="14">
        <f t="shared" si="0"/>
        <v>45419</v>
      </c>
      <c r="P3" s="14">
        <f t="shared" si="0"/>
        <v>45420</v>
      </c>
      <c r="Q3" s="14">
        <f t="shared" si="0"/>
        <v>45421</v>
      </c>
      <c r="R3" s="14">
        <f t="shared" si="0"/>
        <v>45422</v>
      </c>
      <c r="S3" s="14">
        <f t="shared" si="0"/>
        <v>45423</v>
      </c>
      <c r="T3" s="14">
        <f t="shared" si="0"/>
        <v>45424</v>
      </c>
      <c r="U3" s="14">
        <f t="shared" si="0"/>
        <v>45425</v>
      </c>
      <c r="V3" s="14">
        <f t="shared" si="0"/>
        <v>45426</v>
      </c>
      <c r="W3" s="14">
        <f t="shared" si="0"/>
        <v>45427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2">
        <v>8</v>
      </c>
      <c r="K6" s="32">
        <v>8</v>
      </c>
      <c r="L6" s="33"/>
      <c r="M6" s="33"/>
      <c r="N6" s="32">
        <v>8</v>
      </c>
      <c r="O6" s="32">
        <v>8</v>
      </c>
      <c r="P6" s="32">
        <v>8</v>
      </c>
      <c r="Q6" s="32">
        <v>8</v>
      </c>
      <c r="R6" s="32">
        <v>8</v>
      </c>
      <c r="S6" s="33"/>
      <c r="T6" s="33"/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8"/>
      <c r="S7" s="33"/>
      <c r="T7" s="33"/>
      <c r="U7" s="38"/>
      <c r="V7" s="32">
        <v>8</v>
      </c>
      <c r="W7" s="32">
        <v>8</v>
      </c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1"/>
      <c r="J8" s="38"/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2">
        <v>8</v>
      </c>
      <c r="V8" s="32">
        <v>8</v>
      </c>
      <c r="W8" s="32">
        <v>8</v>
      </c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8"/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0</v>
      </c>
      <c r="J16" s="194">
        <f t="shared" si="8"/>
        <v>40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40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45428</v>
      </c>
      <c r="J19" s="44">
        <f t="shared" ref="J19:X19" si="9">I19+1</f>
        <v>45429</v>
      </c>
      <c r="K19" s="44">
        <f t="shared" si="9"/>
        <v>45430</v>
      </c>
      <c r="L19" s="14">
        <f t="shared" si="9"/>
        <v>45431</v>
      </c>
      <c r="M19" s="44">
        <f t="shared" si="9"/>
        <v>45432</v>
      </c>
      <c r="N19" s="44">
        <f t="shared" si="9"/>
        <v>45433</v>
      </c>
      <c r="O19" s="44">
        <f t="shared" si="9"/>
        <v>45434</v>
      </c>
      <c r="P19" s="44">
        <f t="shared" si="9"/>
        <v>45435</v>
      </c>
      <c r="Q19" s="44">
        <f t="shared" si="9"/>
        <v>45436</v>
      </c>
      <c r="R19" s="44">
        <f t="shared" si="9"/>
        <v>45437</v>
      </c>
      <c r="S19" s="44">
        <f t="shared" si="9"/>
        <v>45438</v>
      </c>
      <c r="T19" s="44">
        <f t="shared" si="9"/>
        <v>45439</v>
      </c>
      <c r="U19" s="44">
        <f t="shared" si="9"/>
        <v>45440</v>
      </c>
      <c r="V19" s="44">
        <f t="shared" si="9"/>
        <v>45441</v>
      </c>
      <c r="W19" s="44">
        <f t="shared" si="9"/>
        <v>45442</v>
      </c>
      <c r="X19" s="44">
        <f t="shared" si="9"/>
        <v>45443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2" t="str">
        <f t="shared" si="10"/>
        <v>Thu</v>
      </c>
      <c r="X20" s="22" t="str">
        <f t="shared" si="10"/>
        <v>Fri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8"/>
      <c r="Q21" s="38"/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6" si="15">Z21-COUNTA(I21:X21)</f>
        <v>2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3"/>
      <c r="L22" s="33"/>
      <c r="M22" s="32">
        <v>8</v>
      </c>
      <c r="N22" s="32">
        <v>8</v>
      </c>
      <c r="O22" s="32">
        <v>8</v>
      </c>
      <c r="P22" s="32">
        <v>8</v>
      </c>
      <c r="Q22" s="32">
        <v>8</v>
      </c>
      <c r="R22" s="33"/>
      <c r="S22" s="33"/>
      <c r="T22" s="32">
        <v>8</v>
      </c>
      <c r="U22" s="32">
        <v>8</v>
      </c>
      <c r="V22" s="46">
        <v>8</v>
      </c>
      <c r="W22" s="32">
        <v>8</v>
      </c>
      <c r="X22" s="32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3"/>
      <c r="L23" s="33"/>
      <c r="M23" s="38"/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1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3"/>
      <c r="L25" s="33"/>
      <c r="M25" s="32"/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3"/>
      <c r="L26" s="33"/>
      <c r="M26" s="38"/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32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536</v>
      </c>
      <c r="G32" s="194">
        <f t="shared" si="16"/>
        <v>536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0</v>
      </c>
      <c r="L32" s="194">
        <f t="shared" si="16"/>
        <v>0</v>
      </c>
      <c r="M32" s="194">
        <f t="shared" si="16"/>
        <v>24</v>
      </c>
      <c r="N32" s="194">
        <f t="shared" si="16"/>
        <v>48</v>
      </c>
      <c r="O32" s="194">
        <f t="shared" si="16"/>
        <v>48</v>
      </c>
      <c r="P32" s="194">
        <f t="shared" si="16"/>
        <v>40</v>
      </c>
      <c r="Q32" s="194">
        <f t="shared" si="16"/>
        <v>40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176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176</v>
      </c>
      <c r="C37" s="60">
        <f t="shared" si="18"/>
        <v>176</v>
      </c>
      <c r="D37" s="61">
        <f t="shared" si="19"/>
        <v>176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176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176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176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176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45444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45444</v>
      </c>
      <c r="J3" s="14">
        <f t="shared" ref="J3:W3" si="0">I3+1</f>
        <v>45445</v>
      </c>
      <c r="K3" s="14">
        <f t="shared" si="0"/>
        <v>45446</v>
      </c>
      <c r="L3" s="14">
        <f t="shared" si="0"/>
        <v>45447</v>
      </c>
      <c r="M3" s="14">
        <f t="shared" si="0"/>
        <v>45448</v>
      </c>
      <c r="N3" s="14">
        <f t="shared" si="0"/>
        <v>45449</v>
      </c>
      <c r="O3" s="14">
        <f t="shared" si="0"/>
        <v>45450</v>
      </c>
      <c r="P3" s="14">
        <f t="shared" si="0"/>
        <v>45451</v>
      </c>
      <c r="Q3" s="14">
        <f t="shared" si="0"/>
        <v>45452</v>
      </c>
      <c r="R3" s="14">
        <f t="shared" si="0"/>
        <v>45453</v>
      </c>
      <c r="S3" s="14">
        <f t="shared" si="0"/>
        <v>45454</v>
      </c>
      <c r="T3" s="14">
        <f t="shared" si="0"/>
        <v>45455</v>
      </c>
      <c r="U3" s="14">
        <f t="shared" si="0"/>
        <v>45456</v>
      </c>
      <c r="V3" s="14">
        <f t="shared" si="0"/>
        <v>45457</v>
      </c>
      <c r="W3" s="14">
        <f t="shared" si="0"/>
        <v>45458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Sat</v>
      </c>
      <c r="J4" s="21" t="str">
        <f t="shared" si="1"/>
        <v>Sun</v>
      </c>
      <c r="K4" s="21" t="str">
        <f t="shared" si="1"/>
        <v>Mon</v>
      </c>
      <c r="L4" s="22" t="str">
        <f t="shared" si="1"/>
        <v>Tue</v>
      </c>
      <c r="M4" s="22" t="str">
        <f t="shared" si="1"/>
        <v>Wed</v>
      </c>
      <c r="N4" s="20" t="str">
        <f t="shared" si="1"/>
        <v>Thu</v>
      </c>
      <c r="O4" s="20" t="str">
        <f t="shared" si="1"/>
        <v>Fri</v>
      </c>
      <c r="P4" s="22" t="str">
        <f t="shared" si="1"/>
        <v>Sat</v>
      </c>
      <c r="Q4" s="22" t="str">
        <f t="shared" si="1"/>
        <v>Sun</v>
      </c>
      <c r="R4" s="22" t="str">
        <f t="shared" si="1"/>
        <v>Mon</v>
      </c>
      <c r="S4" s="22" t="str">
        <f t="shared" si="1"/>
        <v>Tue</v>
      </c>
      <c r="T4" s="22" t="str">
        <f t="shared" si="1"/>
        <v>Wed</v>
      </c>
      <c r="U4" s="22" t="str">
        <f t="shared" si="1"/>
        <v>Thu</v>
      </c>
      <c r="V4" s="22" t="str">
        <f t="shared" si="1"/>
        <v>Fri</v>
      </c>
      <c r="W4" s="22" t="str">
        <f t="shared" si="1"/>
        <v>Sat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3"/>
      <c r="K5" s="96">
        <v>8</v>
      </c>
      <c r="L5" s="96">
        <v>8</v>
      </c>
      <c r="M5" s="96">
        <v>8</v>
      </c>
      <c r="N5" s="96">
        <v>8</v>
      </c>
      <c r="O5" s="96">
        <v>8</v>
      </c>
      <c r="P5" s="33"/>
      <c r="Q5" s="33"/>
      <c r="R5" s="96">
        <v>8</v>
      </c>
      <c r="S5" s="96">
        <v>8</v>
      </c>
      <c r="T5" s="96">
        <v>8</v>
      </c>
      <c r="U5" s="96">
        <v>8</v>
      </c>
      <c r="V5" s="96">
        <v>8</v>
      </c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3"/>
      <c r="J6" s="33"/>
      <c r="K6" s="96">
        <v>8</v>
      </c>
      <c r="L6" s="96">
        <v>8</v>
      </c>
      <c r="M6" s="96">
        <v>8</v>
      </c>
      <c r="N6" s="38"/>
      <c r="O6" s="38"/>
      <c r="P6" s="33"/>
      <c r="Q6" s="33"/>
      <c r="R6" s="96">
        <v>8</v>
      </c>
      <c r="S6" s="96">
        <v>8</v>
      </c>
      <c r="T6" s="96">
        <v>8</v>
      </c>
      <c r="U6" s="96">
        <v>8</v>
      </c>
      <c r="V6" s="96">
        <v>8</v>
      </c>
      <c r="W6" s="33"/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72</v>
      </c>
      <c r="G7" s="29">
        <f t="shared" si="5"/>
        <v>72</v>
      </c>
      <c r="H7" s="30">
        <v>0</v>
      </c>
      <c r="I7" s="33"/>
      <c r="J7" s="33"/>
      <c r="K7" s="96">
        <v>8</v>
      </c>
      <c r="L7" s="96">
        <v>8</v>
      </c>
      <c r="M7" s="96">
        <v>8</v>
      </c>
      <c r="N7" s="96">
        <v>8</v>
      </c>
      <c r="O7" s="96">
        <v>8</v>
      </c>
      <c r="P7" s="33"/>
      <c r="Q7" s="33"/>
      <c r="R7" s="96">
        <v>8</v>
      </c>
      <c r="S7" s="38"/>
      <c r="T7" s="96">
        <v>8</v>
      </c>
      <c r="U7" s="96">
        <v>8</v>
      </c>
      <c r="V7" s="96">
        <v>8</v>
      </c>
      <c r="W7" s="33"/>
      <c r="X7" s="29">
        <f t="shared" si="6"/>
        <v>1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3"/>
      <c r="K8" s="32">
        <v>8</v>
      </c>
      <c r="L8" s="96">
        <v>8</v>
      </c>
      <c r="M8" s="96">
        <v>8</v>
      </c>
      <c r="N8" s="96">
        <v>8</v>
      </c>
      <c r="O8" s="96">
        <v>8</v>
      </c>
      <c r="P8" s="33"/>
      <c r="Q8" s="33"/>
      <c r="R8" s="96">
        <v>8</v>
      </c>
      <c r="S8" s="96">
        <v>8</v>
      </c>
      <c r="T8" s="96">
        <v>8</v>
      </c>
      <c r="U8" s="96">
        <v>8</v>
      </c>
      <c r="V8" s="96">
        <v>8</v>
      </c>
      <c r="W8" s="33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64</v>
      </c>
      <c r="G9" s="29">
        <f t="shared" si="5"/>
        <v>64</v>
      </c>
      <c r="H9" s="30">
        <v>0</v>
      </c>
      <c r="I9" s="33"/>
      <c r="J9" s="33"/>
      <c r="K9" s="38"/>
      <c r="L9" s="96">
        <v>8</v>
      </c>
      <c r="M9" s="96">
        <v>8</v>
      </c>
      <c r="N9" s="96">
        <v>8</v>
      </c>
      <c r="O9" s="96">
        <v>8</v>
      </c>
      <c r="P9" s="33"/>
      <c r="Q9" s="33"/>
      <c r="R9" s="96">
        <v>8</v>
      </c>
      <c r="S9" s="96">
        <v>8</v>
      </c>
      <c r="T9" s="96">
        <v>8</v>
      </c>
      <c r="U9" s="96">
        <v>8</v>
      </c>
      <c r="V9" s="97"/>
      <c r="W9" s="33"/>
      <c r="X9" s="29">
        <f t="shared" si="6"/>
        <v>2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3"/>
      <c r="K10" s="96">
        <v>8</v>
      </c>
      <c r="L10" s="96">
        <v>8</v>
      </c>
      <c r="M10" s="96">
        <v>8</v>
      </c>
      <c r="N10" s="96">
        <v>8</v>
      </c>
      <c r="O10" s="96">
        <v>8</v>
      </c>
      <c r="P10" s="33"/>
      <c r="Q10" s="33"/>
      <c r="R10" s="96">
        <v>8</v>
      </c>
      <c r="S10" s="96">
        <v>8</v>
      </c>
      <c r="T10" s="96">
        <v>8</v>
      </c>
      <c r="U10" s="96">
        <v>8</v>
      </c>
      <c r="V10" s="38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432</v>
      </c>
      <c r="G16" s="194">
        <f t="shared" si="8"/>
        <v>432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40</v>
      </c>
      <c r="L16" s="194">
        <f t="shared" si="8"/>
        <v>48</v>
      </c>
      <c r="M16" s="194">
        <f t="shared" si="8"/>
        <v>48</v>
      </c>
      <c r="N16" s="194">
        <f t="shared" si="8"/>
        <v>40</v>
      </c>
      <c r="O16" s="194">
        <f t="shared" si="8"/>
        <v>40</v>
      </c>
      <c r="P16" s="194">
        <f t="shared" si="8"/>
        <v>0</v>
      </c>
      <c r="Q16" s="194">
        <f t="shared" si="8"/>
        <v>0</v>
      </c>
      <c r="R16" s="194">
        <f t="shared" si="8"/>
        <v>48</v>
      </c>
      <c r="S16" s="194">
        <f t="shared" si="8"/>
        <v>40</v>
      </c>
      <c r="T16" s="194">
        <f t="shared" si="8"/>
        <v>48</v>
      </c>
      <c r="U16" s="194">
        <f t="shared" si="8"/>
        <v>48</v>
      </c>
      <c r="V16" s="194">
        <f t="shared" si="8"/>
        <v>32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45459</v>
      </c>
      <c r="J19" s="44">
        <f t="shared" ref="J19:W19" si="9">I19+1</f>
        <v>45460</v>
      </c>
      <c r="K19" s="44">
        <f t="shared" si="9"/>
        <v>45461</v>
      </c>
      <c r="L19" s="14">
        <f t="shared" si="9"/>
        <v>45462</v>
      </c>
      <c r="M19" s="44">
        <f t="shared" si="9"/>
        <v>45463</v>
      </c>
      <c r="N19" s="44">
        <f t="shared" si="9"/>
        <v>45464</v>
      </c>
      <c r="O19" s="44">
        <f t="shared" si="9"/>
        <v>45465</v>
      </c>
      <c r="P19" s="44">
        <f t="shared" si="9"/>
        <v>45466</v>
      </c>
      <c r="Q19" s="44">
        <f t="shared" si="9"/>
        <v>45467</v>
      </c>
      <c r="R19" s="44">
        <f t="shared" si="9"/>
        <v>45468</v>
      </c>
      <c r="S19" s="44">
        <f t="shared" si="9"/>
        <v>45469</v>
      </c>
      <c r="T19" s="44">
        <f t="shared" si="9"/>
        <v>45470</v>
      </c>
      <c r="U19" s="44">
        <f t="shared" si="9"/>
        <v>45471</v>
      </c>
      <c r="V19" s="44">
        <f t="shared" si="9"/>
        <v>45472</v>
      </c>
      <c r="W19" s="44">
        <f t="shared" si="9"/>
        <v>45473</v>
      </c>
      <c r="X19" s="98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Sun</v>
      </c>
      <c r="J20" s="22" t="str">
        <f t="shared" si="10"/>
        <v>Mon</v>
      </c>
      <c r="K20" s="22" t="str">
        <f t="shared" si="10"/>
        <v>Tue</v>
      </c>
      <c r="L20" s="22" t="str">
        <f t="shared" si="10"/>
        <v>Wed</v>
      </c>
      <c r="M20" s="22" t="str">
        <f t="shared" si="10"/>
        <v>Thu</v>
      </c>
      <c r="N20" s="22" t="str">
        <f t="shared" si="10"/>
        <v>Fri</v>
      </c>
      <c r="O20" s="22" t="str">
        <f t="shared" si="10"/>
        <v>Sat</v>
      </c>
      <c r="P20" s="21" t="str">
        <f t="shared" si="10"/>
        <v>Sun</v>
      </c>
      <c r="Q20" s="21" t="str">
        <f t="shared" si="10"/>
        <v>Mon</v>
      </c>
      <c r="R20" s="22" t="str">
        <f t="shared" si="10"/>
        <v>Tue</v>
      </c>
      <c r="S20" s="22" t="str">
        <f t="shared" si="10"/>
        <v>Wed</v>
      </c>
      <c r="T20" s="22" t="str">
        <f t="shared" si="10"/>
        <v>Thu</v>
      </c>
      <c r="U20" s="22" t="str">
        <f t="shared" si="10"/>
        <v>Fri</v>
      </c>
      <c r="V20" s="22" t="str">
        <f t="shared" si="10"/>
        <v>Sat</v>
      </c>
      <c r="W20" s="22" t="str">
        <f t="shared" si="10"/>
        <v>Sun</v>
      </c>
      <c r="X20" s="99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96">
        <v>8</v>
      </c>
      <c r="K21" s="96">
        <v>8</v>
      </c>
      <c r="L21" s="96">
        <v>8</v>
      </c>
      <c r="M21" s="96">
        <v>8</v>
      </c>
      <c r="N21" s="96">
        <v>8</v>
      </c>
      <c r="O21" s="33"/>
      <c r="P21" s="33"/>
      <c r="Q21" s="96">
        <v>8</v>
      </c>
      <c r="R21" s="96">
        <v>8</v>
      </c>
      <c r="S21" s="96">
        <v>8</v>
      </c>
      <c r="T21" s="96">
        <v>8</v>
      </c>
      <c r="U21" s="96">
        <v>8</v>
      </c>
      <c r="V21" s="100"/>
      <c r="W21" s="33"/>
      <c r="X21" s="96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96">
        <v>8</v>
      </c>
      <c r="K22" s="96">
        <v>8</v>
      </c>
      <c r="L22" s="96">
        <v>8</v>
      </c>
      <c r="M22" s="96">
        <v>8</v>
      </c>
      <c r="N22" s="96">
        <v>8</v>
      </c>
      <c r="O22" s="33"/>
      <c r="P22" s="33"/>
      <c r="Q22" s="96">
        <v>8</v>
      </c>
      <c r="R22" s="96">
        <v>8</v>
      </c>
      <c r="S22" s="96">
        <v>8</v>
      </c>
      <c r="T22" s="96">
        <v>8</v>
      </c>
      <c r="U22" s="96">
        <v>8</v>
      </c>
      <c r="V22" s="100"/>
      <c r="W22" s="33"/>
      <c r="X22" s="96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80</v>
      </c>
      <c r="G23" s="29">
        <f t="shared" si="14"/>
        <v>80</v>
      </c>
      <c r="H23" s="30">
        <v>0</v>
      </c>
      <c r="I23" s="33"/>
      <c r="J23" s="96">
        <v>8</v>
      </c>
      <c r="K23" s="96">
        <v>8</v>
      </c>
      <c r="L23" s="96">
        <v>8</v>
      </c>
      <c r="M23" s="96">
        <v>8</v>
      </c>
      <c r="N23" s="96">
        <v>8</v>
      </c>
      <c r="O23" s="33"/>
      <c r="P23" s="33"/>
      <c r="Q23" s="96">
        <v>8</v>
      </c>
      <c r="R23" s="101">
        <v>8</v>
      </c>
      <c r="S23" s="96">
        <v>8</v>
      </c>
      <c r="T23" s="96">
        <v>8</v>
      </c>
      <c r="U23" s="96">
        <v>8</v>
      </c>
      <c r="V23" s="100"/>
      <c r="W23" s="33"/>
      <c r="X23" s="96"/>
      <c r="Y23" s="29">
        <f t="shared" si="15"/>
        <v>0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3"/>
      <c r="J24" s="96">
        <v>8</v>
      </c>
      <c r="K24" s="96">
        <v>8</v>
      </c>
      <c r="L24" s="96">
        <v>8</v>
      </c>
      <c r="M24" s="96">
        <v>8</v>
      </c>
      <c r="N24" s="96">
        <v>8</v>
      </c>
      <c r="O24" s="33"/>
      <c r="P24" s="33"/>
      <c r="Q24" s="96">
        <v>8</v>
      </c>
      <c r="R24" s="96">
        <v>8</v>
      </c>
      <c r="S24" s="96">
        <v>8</v>
      </c>
      <c r="T24" s="96">
        <v>8</v>
      </c>
      <c r="U24" s="96">
        <v>8</v>
      </c>
      <c r="V24" s="100"/>
      <c r="W24" s="33"/>
      <c r="X24" s="96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96">
        <v>8</v>
      </c>
      <c r="K25" s="96">
        <v>8</v>
      </c>
      <c r="L25" s="96">
        <v>8</v>
      </c>
      <c r="M25" s="96">
        <v>8</v>
      </c>
      <c r="N25" s="96">
        <v>8</v>
      </c>
      <c r="O25" s="33"/>
      <c r="P25" s="33"/>
      <c r="Q25" s="96">
        <v>8</v>
      </c>
      <c r="R25" s="101">
        <v>8</v>
      </c>
      <c r="S25" s="96">
        <v>8</v>
      </c>
      <c r="T25" s="96">
        <v>8</v>
      </c>
      <c r="U25" s="96">
        <v>8</v>
      </c>
      <c r="V25" s="100"/>
      <c r="W25" s="33"/>
      <c r="X25" s="96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3"/>
      <c r="J26" s="96">
        <v>8</v>
      </c>
      <c r="K26" s="96">
        <v>8</v>
      </c>
      <c r="L26" s="96">
        <v>8</v>
      </c>
      <c r="M26" s="96">
        <v>8</v>
      </c>
      <c r="N26" s="96">
        <v>8</v>
      </c>
      <c r="O26" s="33"/>
      <c r="P26" s="33"/>
      <c r="Q26" s="96">
        <v>8</v>
      </c>
      <c r="R26" s="96">
        <v>8</v>
      </c>
      <c r="S26" s="96">
        <v>8</v>
      </c>
      <c r="T26" s="96">
        <v>8</v>
      </c>
      <c r="U26" s="96">
        <v>8</v>
      </c>
      <c r="V26" s="33"/>
      <c r="W26" s="33"/>
      <c r="X26" s="96"/>
      <c r="Y26" s="29">
        <f t="shared" si="15"/>
        <v>0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480</v>
      </c>
      <c r="G32" s="194">
        <f t="shared" si="16"/>
        <v>480</v>
      </c>
      <c r="H32" s="194">
        <f t="shared" si="16"/>
        <v>0</v>
      </c>
      <c r="I32" s="194">
        <f t="shared" si="16"/>
        <v>0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0</v>
      </c>
      <c r="P32" s="194">
        <f t="shared" si="16"/>
        <v>0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144</v>
      </c>
      <c r="C37" s="60">
        <f t="shared" si="18"/>
        <v>160</v>
      </c>
      <c r="D37" s="61">
        <f t="shared" si="19"/>
        <v>144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160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144</v>
      </c>
      <c r="C40" s="60">
        <f t="shared" si="18"/>
        <v>160</v>
      </c>
      <c r="D40" s="61">
        <f t="shared" si="19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152</v>
      </c>
      <c r="C41" s="67">
        <f t="shared" si="18"/>
        <v>160</v>
      </c>
      <c r="D41" s="68">
        <f t="shared" si="19"/>
        <v>152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/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45474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45474</v>
      </c>
      <c r="J3" s="14">
        <f t="shared" ref="J3:W3" si="0">I3+1</f>
        <v>45475</v>
      </c>
      <c r="K3" s="14">
        <f t="shared" si="0"/>
        <v>45476</v>
      </c>
      <c r="L3" s="14">
        <f t="shared" si="0"/>
        <v>45477</v>
      </c>
      <c r="M3" s="14">
        <f t="shared" si="0"/>
        <v>45478</v>
      </c>
      <c r="N3" s="14">
        <f t="shared" si="0"/>
        <v>45479</v>
      </c>
      <c r="O3" s="14">
        <f t="shared" si="0"/>
        <v>45480</v>
      </c>
      <c r="P3" s="14">
        <f t="shared" si="0"/>
        <v>45481</v>
      </c>
      <c r="Q3" s="14">
        <f t="shared" si="0"/>
        <v>45482</v>
      </c>
      <c r="R3" s="14">
        <f t="shared" si="0"/>
        <v>45483</v>
      </c>
      <c r="S3" s="14">
        <f t="shared" si="0"/>
        <v>45484</v>
      </c>
      <c r="T3" s="14">
        <f t="shared" si="0"/>
        <v>45485</v>
      </c>
      <c r="U3" s="14">
        <f t="shared" si="0"/>
        <v>45486</v>
      </c>
      <c r="V3" s="14">
        <f t="shared" si="0"/>
        <v>45487</v>
      </c>
      <c r="W3" s="14">
        <f t="shared" si="0"/>
        <v>45488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88</v>
      </c>
      <c r="E5" s="29">
        <f t="shared" ref="E5:E10" si="3">Y5*8</f>
        <v>88</v>
      </c>
      <c r="F5" s="29">
        <f t="shared" ref="F5:F10" si="4">G5+H5</f>
        <v>88</v>
      </c>
      <c r="G5" s="29">
        <f t="shared" ref="G5:G10" si="5">SUM(I5:W5)</f>
        <v>88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2">
        <v>8</v>
      </c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2">
        <v>8</v>
      </c>
      <c r="T6" s="32">
        <v>8</v>
      </c>
      <c r="U6" s="33"/>
      <c r="V6" s="33"/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80</v>
      </c>
      <c r="G7" s="29">
        <f t="shared" si="5"/>
        <v>80</v>
      </c>
      <c r="H7" s="30">
        <v>0</v>
      </c>
      <c r="I7" s="38"/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2">
        <v>8</v>
      </c>
      <c r="T7" s="32">
        <v>8</v>
      </c>
      <c r="U7" s="33"/>
      <c r="V7" s="33"/>
      <c r="W7" s="32">
        <v>8</v>
      </c>
      <c r="X7" s="29">
        <f t="shared" si="6"/>
        <v>1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2">
        <v>8</v>
      </c>
      <c r="T8" s="32">
        <v>8</v>
      </c>
      <c r="U8" s="33"/>
      <c r="V8" s="33"/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2">
        <v>8</v>
      </c>
      <c r="T9" s="32">
        <v>8</v>
      </c>
      <c r="U9" s="33"/>
      <c r="V9" s="47"/>
      <c r="W9" s="97"/>
      <c r="X9" s="29">
        <f t="shared" si="6"/>
        <v>1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2">
        <v>8</v>
      </c>
      <c r="T10" s="38"/>
      <c r="U10" s="33"/>
      <c r="V10" s="33"/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528</v>
      </c>
      <c r="E16" s="194">
        <f t="shared" si="8"/>
        <v>528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48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45489</v>
      </c>
      <c r="J19" s="44">
        <f t="shared" ref="J19:X19" si="9">I19+1</f>
        <v>45490</v>
      </c>
      <c r="K19" s="44">
        <f t="shared" si="9"/>
        <v>45491</v>
      </c>
      <c r="L19" s="14">
        <f t="shared" si="9"/>
        <v>45492</v>
      </c>
      <c r="M19" s="44">
        <f t="shared" si="9"/>
        <v>45493</v>
      </c>
      <c r="N19" s="44">
        <f t="shared" si="9"/>
        <v>45494</v>
      </c>
      <c r="O19" s="44">
        <f t="shared" si="9"/>
        <v>45495</v>
      </c>
      <c r="P19" s="44">
        <f t="shared" si="9"/>
        <v>45496</v>
      </c>
      <c r="Q19" s="44">
        <f t="shared" si="9"/>
        <v>45497</v>
      </c>
      <c r="R19" s="44">
        <f t="shared" si="9"/>
        <v>45498</v>
      </c>
      <c r="S19" s="44">
        <f t="shared" si="9"/>
        <v>45499</v>
      </c>
      <c r="T19" s="44">
        <f t="shared" si="9"/>
        <v>45500</v>
      </c>
      <c r="U19" s="44">
        <f t="shared" si="9"/>
        <v>45501</v>
      </c>
      <c r="V19" s="44">
        <f t="shared" si="9"/>
        <v>45502</v>
      </c>
      <c r="W19" s="44">
        <f t="shared" si="9"/>
        <v>45503</v>
      </c>
      <c r="X19" s="44">
        <f t="shared" si="9"/>
        <v>45504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22" t="str">
        <f t="shared" si="10"/>
        <v>Wed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96</v>
      </c>
      <c r="G21" s="29">
        <f t="shared" ref="G21:G26" si="14">SUM(I21:X21)</f>
        <v>96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96">
        <v>8</v>
      </c>
      <c r="Y21" s="29">
        <f t="shared" ref="Y21:Y26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96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96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8"/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96">
        <v>8</v>
      </c>
      <c r="Y24" s="29">
        <f t="shared" si="15"/>
        <v>1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8"/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96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8"/>
      <c r="S26" s="32">
        <v>8</v>
      </c>
      <c r="T26" s="33"/>
      <c r="U26" s="33"/>
      <c r="V26" s="32">
        <v>8</v>
      </c>
      <c r="W26" s="32">
        <v>8</v>
      </c>
      <c r="X26" s="96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48</v>
      </c>
      <c r="M32" s="194">
        <f t="shared" si="16"/>
        <v>0</v>
      </c>
      <c r="N32" s="194">
        <f t="shared" si="16"/>
        <v>0</v>
      </c>
      <c r="O32" s="194">
        <f t="shared" si="16"/>
        <v>40</v>
      </c>
      <c r="P32" s="194">
        <f t="shared" si="16"/>
        <v>48</v>
      </c>
      <c r="Q32" s="194">
        <f t="shared" si="16"/>
        <v>48</v>
      </c>
      <c r="R32" s="194">
        <f t="shared" si="16"/>
        <v>40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184</v>
      </c>
      <c r="C36" s="60">
        <f t="shared" ref="C36:C41" si="18">E5+E21</f>
        <v>184</v>
      </c>
      <c r="D36" s="61">
        <f t="shared" ref="D36:D41" si="19">B36</f>
        <v>184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184</v>
      </c>
      <c r="C37" s="60">
        <f t="shared" si="18"/>
        <v>184</v>
      </c>
      <c r="D37" s="61">
        <f t="shared" si="19"/>
        <v>184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184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176</v>
      </c>
      <c r="C39" s="60">
        <f t="shared" si="18"/>
        <v>184</v>
      </c>
      <c r="D39" s="61">
        <f t="shared" si="19"/>
        <v>176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184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184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11</v>
      </c>
      <c r="C53" s="81">
        <f t="shared" si="26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184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45505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45505</v>
      </c>
      <c r="J3" s="14">
        <f t="shared" ref="J3:W3" si="0">I3+1</f>
        <v>45506</v>
      </c>
      <c r="K3" s="14">
        <f t="shared" si="0"/>
        <v>45507</v>
      </c>
      <c r="L3" s="14">
        <f t="shared" si="0"/>
        <v>45508</v>
      </c>
      <c r="M3" s="14">
        <f t="shared" si="0"/>
        <v>45509</v>
      </c>
      <c r="N3" s="14">
        <f t="shared" si="0"/>
        <v>45510</v>
      </c>
      <c r="O3" s="14">
        <f t="shared" si="0"/>
        <v>45511</v>
      </c>
      <c r="P3" s="14">
        <f t="shared" si="0"/>
        <v>45512</v>
      </c>
      <c r="Q3" s="14">
        <f t="shared" si="0"/>
        <v>45513</v>
      </c>
      <c r="R3" s="14">
        <f t="shared" si="0"/>
        <v>45514</v>
      </c>
      <c r="S3" s="14">
        <f t="shared" si="0"/>
        <v>45515</v>
      </c>
      <c r="T3" s="14">
        <f t="shared" si="0"/>
        <v>45516</v>
      </c>
      <c r="U3" s="14">
        <f t="shared" si="0"/>
        <v>45517</v>
      </c>
      <c r="V3" s="14">
        <f t="shared" si="0"/>
        <v>45518</v>
      </c>
      <c r="W3" s="14">
        <f t="shared" si="0"/>
        <v>45519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8"/>
      <c r="V5" s="32">
        <v>8</v>
      </c>
      <c r="W5" s="31"/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1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2">
        <v>8</v>
      </c>
      <c r="J7" s="32">
        <v>8</v>
      </c>
      <c r="K7" s="33"/>
      <c r="L7" s="33"/>
      <c r="M7" s="38"/>
      <c r="N7" s="38"/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1"/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2">
        <v>8</v>
      </c>
      <c r="U8" s="32">
        <v>8</v>
      </c>
      <c r="V8" s="32">
        <v>8</v>
      </c>
      <c r="W8" s="31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48">
        <v>8</v>
      </c>
      <c r="W9" s="92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2">
        <v>8</v>
      </c>
      <c r="U10" s="32">
        <v>8</v>
      </c>
      <c r="V10" s="32">
        <v>8</v>
      </c>
      <c r="W10" s="31"/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456</v>
      </c>
      <c r="G16" s="194">
        <f t="shared" si="8"/>
        <v>456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48</v>
      </c>
      <c r="U16" s="194">
        <f t="shared" si="8"/>
        <v>40</v>
      </c>
      <c r="V16" s="194">
        <f t="shared" si="8"/>
        <v>48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45520</v>
      </c>
      <c r="J19" s="44">
        <f t="shared" ref="J19:X19" si="9">I19+1</f>
        <v>45521</v>
      </c>
      <c r="K19" s="44">
        <f t="shared" si="9"/>
        <v>45522</v>
      </c>
      <c r="L19" s="14">
        <f t="shared" si="9"/>
        <v>45523</v>
      </c>
      <c r="M19" s="44">
        <f t="shared" si="9"/>
        <v>45524</v>
      </c>
      <c r="N19" s="44">
        <f t="shared" si="9"/>
        <v>45525</v>
      </c>
      <c r="O19" s="44">
        <f t="shared" si="9"/>
        <v>45526</v>
      </c>
      <c r="P19" s="44">
        <f t="shared" si="9"/>
        <v>45527</v>
      </c>
      <c r="Q19" s="44">
        <f t="shared" si="9"/>
        <v>45528</v>
      </c>
      <c r="R19" s="44">
        <f t="shared" si="9"/>
        <v>45529</v>
      </c>
      <c r="S19" s="44">
        <f t="shared" si="9"/>
        <v>45530</v>
      </c>
      <c r="T19" s="44">
        <f t="shared" si="9"/>
        <v>45531</v>
      </c>
      <c r="U19" s="44">
        <f t="shared" si="9"/>
        <v>45532</v>
      </c>
      <c r="V19" s="44">
        <f t="shared" si="9"/>
        <v>45533</v>
      </c>
      <c r="W19" s="44">
        <f t="shared" si="9"/>
        <v>45534</v>
      </c>
      <c r="X19" s="44">
        <f t="shared" si="9"/>
        <v>45535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22" t="str">
        <f t="shared" si="10"/>
        <v>Fri</v>
      </c>
      <c r="X20" s="22" t="str">
        <f t="shared" si="10"/>
        <v>Sat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>
        <v>8</v>
      </c>
      <c r="X21" s="33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80</v>
      </c>
      <c r="G22" s="29">
        <f t="shared" si="14"/>
        <v>80</v>
      </c>
      <c r="H22" s="30">
        <v>0</v>
      </c>
      <c r="I22" s="38"/>
      <c r="J22" s="33"/>
      <c r="K22" s="33"/>
      <c r="L22" s="32">
        <v>8</v>
      </c>
      <c r="M22" s="32">
        <v>8</v>
      </c>
      <c r="N22" s="32">
        <v>8</v>
      </c>
      <c r="O22" s="32">
        <v>8</v>
      </c>
      <c r="P22" s="32">
        <v>8</v>
      </c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>
        <v>8</v>
      </c>
      <c r="X22" s="33"/>
      <c r="Y22" s="29">
        <f t="shared" si="15"/>
        <v>1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2">
        <v>8</v>
      </c>
      <c r="U23" s="32">
        <v>8</v>
      </c>
      <c r="V23" s="46">
        <v>8</v>
      </c>
      <c r="W23" s="32">
        <v>8</v>
      </c>
      <c r="X23" s="33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>
        <v>8</v>
      </c>
      <c r="X24" s="33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>
        <v>8</v>
      </c>
      <c r="X25" s="33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80</v>
      </c>
      <c r="G26" s="29">
        <f t="shared" si="14"/>
        <v>80</v>
      </c>
      <c r="H26" s="30">
        <v>0</v>
      </c>
      <c r="I26" s="38"/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32">
        <v>8</v>
      </c>
      <c r="W26" s="32">
        <v>8</v>
      </c>
      <c r="X26" s="33"/>
      <c r="Y26" s="29">
        <f t="shared" si="15"/>
        <v>1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512</v>
      </c>
      <c r="G32" s="194">
        <f t="shared" si="16"/>
        <v>512</v>
      </c>
      <c r="H32" s="194">
        <f t="shared" si="16"/>
        <v>0</v>
      </c>
      <c r="I32" s="194">
        <f t="shared" si="16"/>
        <v>32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48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168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168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45536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45536</v>
      </c>
      <c r="J3" s="14">
        <f t="shared" ref="J3:W3" si="0">I3+1</f>
        <v>45537</v>
      </c>
      <c r="K3" s="14">
        <f t="shared" si="0"/>
        <v>45538</v>
      </c>
      <c r="L3" s="14">
        <f t="shared" si="0"/>
        <v>45539</v>
      </c>
      <c r="M3" s="14">
        <f t="shared" si="0"/>
        <v>45540</v>
      </c>
      <c r="N3" s="14">
        <f t="shared" si="0"/>
        <v>45541</v>
      </c>
      <c r="O3" s="14">
        <f t="shared" si="0"/>
        <v>45542</v>
      </c>
      <c r="P3" s="14">
        <f t="shared" si="0"/>
        <v>45543</v>
      </c>
      <c r="Q3" s="14">
        <f t="shared" si="0"/>
        <v>45544</v>
      </c>
      <c r="R3" s="14">
        <f t="shared" si="0"/>
        <v>45545</v>
      </c>
      <c r="S3" s="14">
        <f t="shared" si="0"/>
        <v>45546</v>
      </c>
      <c r="T3" s="14">
        <f t="shared" si="0"/>
        <v>45547</v>
      </c>
      <c r="U3" s="14">
        <f t="shared" si="0"/>
        <v>45548</v>
      </c>
      <c r="V3" s="14">
        <f t="shared" si="0"/>
        <v>45549</v>
      </c>
      <c r="W3" s="14">
        <f t="shared" si="0"/>
        <v>45550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3"/>
      <c r="J6" s="32">
        <v>8</v>
      </c>
      <c r="K6" s="32">
        <v>8</v>
      </c>
      <c r="L6" s="32">
        <v>8</v>
      </c>
      <c r="M6" s="32">
        <v>8</v>
      </c>
      <c r="N6" s="32">
        <v>8</v>
      </c>
      <c r="O6" s="33"/>
      <c r="P6" s="33"/>
      <c r="Q6" s="32">
        <v>8</v>
      </c>
      <c r="R6" s="32">
        <v>8</v>
      </c>
      <c r="S6" s="32">
        <v>8</v>
      </c>
      <c r="T6" s="32">
        <v>8</v>
      </c>
      <c r="U6" s="32">
        <v>8</v>
      </c>
      <c r="V6" s="33"/>
      <c r="W6" s="33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3"/>
      <c r="J7" s="32">
        <v>8</v>
      </c>
      <c r="K7" s="32">
        <v>8</v>
      </c>
      <c r="L7" s="32">
        <v>8</v>
      </c>
      <c r="M7" s="32">
        <v>8</v>
      </c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8"/>
      <c r="S8" s="32">
        <v>8</v>
      </c>
      <c r="T8" s="32">
        <v>8</v>
      </c>
      <c r="U8" s="32">
        <v>8</v>
      </c>
      <c r="V8" s="33"/>
      <c r="W8" s="33"/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47"/>
      <c r="W9" s="47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8"/>
      <c r="R10" s="32">
        <v>8</v>
      </c>
      <c r="S10" s="32">
        <v>8</v>
      </c>
      <c r="T10" s="32">
        <v>8</v>
      </c>
      <c r="U10" s="32">
        <v>8</v>
      </c>
      <c r="V10" s="33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48</v>
      </c>
      <c r="O16" s="194">
        <f t="shared" si="8"/>
        <v>0</v>
      </c>
      <c r="P16" s="194">
        <f t="shared" si="8"/>
        <v>0</v>
      </c>
      <c r="Q16" s="194">
        <f t="shared" si="8"/>
        <v>40</v>
      </c>
      <c r="R16" s="194">
        <f t="shared" si="8"/>
        <v>40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0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45551</v>
      </c>
      <c r="J19" s="44">
        <f t="shared" ref="J19:W19" si="9">I19+1</f>
        <v>45552</v>
      </c>
      <c r="K19" s="44">
        <f t="shared" si="9"/>
        <v>45553</v>
      </c>
      <c r="L19" s="14">
        <f t="shared" si="9"/>
        <v>45554</v>
      </c>
      <c r="M19" s="44">
        <f t="shared" si="9"/>
        <v>45555</v>
      </c>
      <c r="N19" s="44">
        <f t="shared" si="9"/>
        <v>45556</v>
      </c>
      <c r="O19" s="44">
        <f t="shared" si="9"/>
        <v>45557</v>
      </c>
      <c r="P19" s="44">
        <f t="shared" si="9"/>
        <v>45558</v>
      </c>
      <c r="Q19" s="44">
        <f t="shared" si="9"/>
        <v>45559</v>
      </c>
      <c r="R19" s="44">
        <f t="shared" si="9"/>
        <v>45560</v>
      </c>
      <c r="S19" s="44">
        <f t="shared" si="9"/>
        <v>45561</v>
      </c>
      <c r="T19" s="44">
        <f t="shared" si="9"/>
        <v>45562</v>
      </c>
      <c r="U19" s="44">
        <f t="shared" si="9"/>
        <v>45563</v>
      </c>
      <c r="V19" s="44">
        <f t="shared" si="9"/>
        <v>45564</v>
      </c>
      <c r="W19" s="44">
        <f t="shared" si="9"/>
        <v>45565</v>
      </c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Mon</v>
      </c>
      <c r="J20" s="22" t="str">
        <f t="shared" si="10"/>
        <v>Tue</v>
      </c>
      <c r="K20" s="22" t="str">
        <f t="shared" si="10"/>
        <v>Wed</v>
      </c>
      <c r="L20" s="22" t="str">
        <f t="shared" si="10"/>
        <v>Thu</v>
      </c>
      <c r="M20" s="22" t="str">
        <f t="shared" si="10"/>
        <v>Fri</v>
      </c>
      <c r="N20" s="22" t="str">
        <f t="shared" si="10"/>
        <v>Sat</v>
      </c>
      <c r="O20" s="22" t="str">
        <f t="shared" si="10"/>
        <v>Sun</v>
      </c>
      <c r="P20" s="21" t="str">
        <f t="shared" si="10"/>
        <v>Mon</v>
      </c>
      <c r="Q20" s="21" t="str">
        <f t="shared" si="10"/>
        <v>Tue</v>
      </c>
      <c r="R20" s="22" t="str">
        <f t="shared" si="10"/>
        <v>Wed</v>
      </c>
      <c r="S20" s="22" t="str">
        <f t="shared" si="10"/>
        <v>Thu</v>
      </c>
      <c r="T20" s="22" t="str">
        <f t="shared" si="10"/>
        <v>Fri</v>
      </c>
      <c r="U20" s="22" t="str">
        <f t="shared" si="10"/>
        <v>Sat</v>
      </c>
      <c r="V20" s="22" t="str">
        <f t="shared" si="10"/>
        <v>Sun</v>
      </c>
      <c r="W20" s="22" t="str">
        <f t="shared" si="10"/>
        <v>Mon</v>
      </c>
      <c r="X20" s="46" t="str">
        <f t="shared" si="10"/>
        <v/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2">
        <v>8</v>
      </c>
      <c r="N21" s="33"/>
      <c r="O21" s="33"/>
      <c r="P21" s="32">
        <v>8</v>
      </c>
      <c r="Q21" s="32">
        <v>8</v>
      </c>
      <c r="R21" s="32">
        <v>8</v>
      </c>
      <c r="S21" s="32">
        <v>8</v>
      </c>
      <c r="T21" s="32">
        <v>8</v>
      </c>
      <c r="U21" s="33"/>
      <c r="V21" s="100"/>
      <c r="W21" s="32">
        <v>8</v>
      </c>
      <c r="X21" s="32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2">
        <v>8</v>
      </c>
      <c r="N22" s="33"/>
      <c r="O22" s="33"/>
      <c r="P22" s="32">
        <v>8</v>
      </c>
      <c r="Q22" s="32">
        <v>8</v>
      </c>
      <c r="R22" s="32">
        <v>8</v>
      </c>
      <c r="S22" s="32">
        <v>8</v>
      </c>
      <c r="T22" s="32">
        <v>8</v>
      </c>
      <c r="U22" s="33"/>
      <c r="V22" s="100"/>
      <c r="W22" s="32">
        <v>8</v>
      </c>
      <c r="X22" s="32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48">
        <v>8</v>
      </c>
      <c r="S23" s="32">
        <v>8</v>
      </c>
      <c r="T23" s="32">
        <v>8</v>
      </c>
      <c r="U23" s="33"/>
      <c r="V23" s="100"/>
      <c r="W23" s="96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2">
        <v>8</v>
      </c>
      <c r="S24" s="32">
        <v>8</v>
      </c>
      <c r="T24" s="32">
        <v>8</v>
      </c>
      <c r="U24" s="33"/>
      <c r="V24" s="100"/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48">
        <v>8</v>
      </c>
      <c r="S25" s="32">
        <v>8</v>
      </c>
      <c r="T25" s="32">
        <v>8</v>
      </c>
      <c r="U25" s="33"/>
      <c r="V25" s="100"/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2">
        <v>8</v>
      </c>
      <c r="S26" s="32">
        <v>8</v>
      </c>
      <c r="T26" s="32">
        <v>8</v>
      </c>
      <c r="U26" s="33"/>
      <c r="V26" s="33"/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528</v>
      </c>
      <c r="G32" s="194">
        <f t="shared" si="16"/>
        <v>528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0</v>
      </c>
      <c r="O32" s="194">
        <f t="shared" si="16"/>
        <v>0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1" si="18">E5+E21</f>
        <v>168</v>
      </c>
      <c r="D36" s="61">
        <f t="shared" ref="D36:D41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168</v>
      </c>
      <c r="C37" s="60">
        <f t="shared" si="18"/>
        <v>168</v>
      </c>
      <c r="D37" s="61">
        <f t="shared" si="19"/>
        <v>168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B26B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45566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45566</v>
      </c>
      <c r="J3" s="14">
        <f t="shared" ref="J3:W3" si="0">I3+1</f>
        <v>45567</v>
      </c>
      <c r="K3" s="14">
        <f t="shared" si="0"/>
        <v>45568</v>
      </c>
      <c r="L3" s="14">
        <f t="shared" si="0"/>
        <v>45569</v>
      </c>
      <c r="M3" s="14">
        <f t="shared" si="0"/>
        <v>45570</v>
      </c>
      <c r="N3" s="14">
        <f t="shared" si="0"/>
        <v>45571</v>
      </c>
      <c r="O3" s="14">
        <f t="shared" si="0"/>
        <v>45572</v>
      </c>
      <c r="P3" s="14">
        <f t="shared" si="0"/>
        <v>45573</v>
      </c>
      <c r="Q3" s="14">
        <f t="shared" si="0"/>
        <v>45574</v>
      </c>
      <c r="R3" s="14">
        <f t="shared" si="0"/>
        <v>45575</v>
      </c>
      <c r="S3" s="14">
        <f t="shared" si="0"/>
        <v>45576</v>
      </c>
      <c r="T3" s="14">
        <f t="shared" si="0"/>
        <v>45577</v>
      </c>
      <c r="U3" s="14">
        <f t="shared" si="0"/>
        <v>45578</v>
      </c>
      <c r="V3" s="14">
        <f t="shared" si="0"/>
        <v>45579</v>
      </c>
      <c r="W3" s="14">
        <f t="shared" si="0"/>
        <v>45580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Tue</v>
      </c>
      <c r="J4" s="21" t="str">
        <f t="shared" si="1"/>
        <v>Wed</v>
      </c>
      <c r="K4" s="21" t="str">
        <f t="shared" si="1"/>
        <v>Thu</v>
      </c>
      <c r="L4" s="22" t="str">
        <f t="shared" si="1"/>
        <v>Fri</v>
      </c>
      <c r="M4" s="22" t="str">
        <f t="shared" si="1"/>
        <v>Sat</v>
      </c>
      <c r="N4" s="20" t="str">
        <f t="shared" si="1"/>
        <v>Sun</v>
      </c>
      <c r="O4" s="20" t="str">
        <f t="shared" si="1"/>
        <v>Mon</v>
      </c>
      <c r="P4" s="22" t="str">
        <f t="shared" si="1"/>
        <v>Tue</v>
      </c>
      <c r="Q4" s="22" t="str">
        <f t="shared" si="1"/>
        <v>Wed</v>
      </c>
      <c r="R4" s="22" t="str">
        <f t="shared" si="1"/>
        <v>Thu</v>
      </c>
      <c r="S4" s="22" t="str">
        <f t="shared" si="1"/>
        <v>Fri</v>
      </c>
      <c r="T4" s="22" t="str">
        <f t="shared" si="1"/>
        <v>Sat</v>
      </c>
      <c r="U4" s="22" t="str">
        <f t="shared" si="1"/>
        <v>Sun</v>
      </c>
      <c r="V4" s="22" t="str">
        <f t="shared" si="1"/>
        <v>Mon</v>
      </c>
      <c r="W4" s="22" t="str">
        <f t="shared" si="1"/>
        <v>Tue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1"/>
      <c r="K5" s="38"/>
      <c r="L5" s="32">
        <v>8</v>
      </c>
      <c r="M5" s="33"/>
      <c r="N5" s="33"/>
      <c r="O5" s="32">
        <v>8</v>
      </c>
      <c r="P5" s="32">
        <v>8</v>
      </c>
      <c r="Q5" s="32">
        <v>8</v>
      </c>
      <c r="R5" s="32">
        <v>8</v>
      </c>
      <c r="S5" s="32">
        <v>8</v>
      </c>
      <c r="T5" s="33"/>
      <c r="U5" s="33"/>
      <c r="V5" s="32">
        <v>8</v>
      </c>
      <c r="W5" s="32">
        <v>8</v>
      </c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2">
        <v>8</v>
      </c>
      <c r="J6" s="31"/>
      <c r="K6" s="38"/>
      <c r="L6" s="38"/>
      <c r="M6" s="33"/>
      <c r="N6" s="33"/>
      <c r="O6" s="32">
        <v>8</v>
      </c>
      <c r="P6" s="32">
        <v>8</v>
      </c>
      <c r="Q6" s="32">
        <v>8</v>
      </c>
      <c r="R6" s="32">
        <v>8</v>
      </c>
      <c r="S6" s="32">
        <v>8</v>
      </c>
      <c r="T6" s="33"/>
      <c r="U6" s="33"/>
      <c r="V6" s="32">
        <v>8</v>
      </c>
      <c r="W6" s="32">
        <v>8</v>
      </c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1"/>
      <c r="K7" s="32">
        <v>8</v>
      </c>
      <c r="L7" s="32">
        <v>8</v>
      </c>
      <c r="M7" s="33"/>
      <c r="N7" s="33"/>
      <c r="O7" s="32">
        <v>8</v>
      </c>
      <c r="P7" s="32">
        <v>8</v>
      </c>
      <c r="Q7" s="32">
        <v>8</v>
      </c>
      <c r="R7" s="32">
        <v>8</v>
      </c>
      <c r="S7" s="32">
        <v>8</v>
      </c>
      <c r="T7" s="33"/>
      <c r="U7" s="33"/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1"/>
      <c r="K8" s="32">
        <v>8</v>
      </c>
      <c r="L8" s="32">
        <v>8</v>
      </c>
      <c r="M8" s="33"/>
      <c r="N8" s="33"/>
      <c r="O8" s="32">
        <v>8</v>
      </c>
      <c r="P8" s="32">
        <v>8</v>
      </c>
      <c r="Q8" s="32">
        <v>8</v>
      </c>
      <c r="R8" s="32">
        <v>8</v>
      </c>
      <c r="S8" s="32">
        <v>8</v>
      </c>
      <c r="T8" s="33"/>
      <c r="U8" s="33"/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2">
        <v>8</v>
      </c>
      <c r="J9" s="31"/>
      <c r="K9" s="32">
        <v>8</v>
      </c>
      <c r="L9" s="32">
        <v>8</v>
      </c>
      <c r="M9" s="33"/>
      <c r="N9" s="33"/>
      <c r="O9" s="32">
        <v>8</v>
      </c>
      <c r="P9" s="32">
        <v>8</v>
      </c>
      <c r="Q9" s="38"/>
      <c r="R9" s="32">
        <v>8</v>
      </c>
      <c r="S9" s="32">
        <v>8</v>
      </c>
      <c r="T9" s="33"/>
      <c r="U9" s="33"/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1"/>
      <c r="K10" s="32">
        <v>8</v>
      </c>
      <c r="L10" s="32">
        <v>8</v>
      </c>
      <c r="M10" s="33"/>
      <c r="N10" s="33"/>
      <c r="O10" s="32">
        <v>8</v>
      </c>
      <c r="P10" s="32">
        <v>8</v>
      </c>
      <c r="Q10" s="32">
        <v>8</v>
      </c>
      <c r="R10" s="32">
        <v>8</v>
      </c>
      <c r="S10" s="32">
        <v>8</v>
      </c>
      <c r="T10" s="33"/>
      <c r="U10" s="33"/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32</v>
      </c>
      <c r="L16" s="194">
        <f t="shared" si="8"/>
        <v>40</v>
      </c>
      <c r="M16" s="194">
        <f t="shared" si="8"/>
        <v>0</v>
      </c>
      <c r="N16" s="194">
        <f t="shared" si="8"/>
        <v>0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48</v>
      </c>
      <c r="S16" s="194">
        <f t="shared" si="8"/>
        <v>48</v>
      </c>
      <c r="T16" s="194">
        <f t="shared" si="8"/>
        <v>0</v>
      </c>
      <c r="U16" s="194">
        <f t="shared" si="8"/>
        <v>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45581</v>
      </c>
      <c r="J19" s="44">
        <f t="shared" ref="J19:X19" si="9">I19+1</f>
        <v>45582</v>
      </c>
      <c r="K19" s="44">
        <f t="shared" si="9"/>
        <v>45583</v>
      </c>
      <c r="L19" s="14">
        <f t="shared" si="9"/>
        <v>45584</v>
      </c>
      <c r="M19" s="44">
        <f t="shared" si="9"/>
        <v>45585</v>
      </c>
      <c r="N19" s="44">
        <f t="shared" si="9"/>
        <v>45586</v>
      </c>
      <c r="O19" s="44">
        <f t="shared" si="9"/>
        <v>45587</v>
      </c>
      <c r="P19" s="44">
        <f t="shared" si="9"/>
        <v>45588</v>
      </c>
      <c r="Q19" s="44">
        <f t="shared" si="9"/>
        <v>45589</v>
      </c>
      <c r="R19" s="44">
        <f t="shared" si="9"/>
        <v>45590</v>
      </c>
      <c r="S19" s="44">
        <f t="shared" si="9"/>
        <v>45591</v>
      </c>
      <c r="T19" s="44">
        <f t="shared" si="9"/>
        <v>45592</v>
      </c>
      <c r="U19" s="44">
        <f t="shared" si="9"/>
        <v>45593</v>
      </c>
      <c r="V19" s="44">
        <f t="shared" si="9"/>
        <v>45594</v>
      </c>
      <c r="W19" s="44">
        <f t="shared" si="9"/>
        <v>45595</v>
      </c>
      <c r="X19" s="44">
        <f t="shared" si="9"/>
        <v>45596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Wed</v>
      </c>
      <c r="J20" s="22" t="str">
        <f t="shared" si="10"/>
        <v>Thu</v>
      </c>
      <c r="K20" s="22" t="str">
        <f t="shared" si="10"/>
        <v>Fri</v>
      </c>
      <c r="L20" s="22" t="str">
        <f t="shared" si="10"/>
        <v>Sat</v>
      </c>
      <c r="M20" s="22" t="str">
        <f t="shared" si="10"/>
        <v>Sun</v>
      </c>
      <c r="N20" s="22" t="str">
        <f t="shared" si="10"/>
        <v>Mon</v>
      </c>
      <c r="O20" s="22" t="str">
        <f t="shared" si="10"/>
        <v>Tue</v>
      </c>
      <c r="P20" s="21" t="str">
        <f t="shared" si="10"/>
        <v>Wed</v>
      </c>
      <c r="Q20" s="21" t="str">
        <f t="shared" si="10"/>
        <v>Thu</v>
      </c>
      <c r="R20" s="22" t="str">
        <f t="shared" si="10"/>
        <v>Fri</v>
      </c>
      <c r="S20" s="22" t="str">
        <f t="shared" si="10"/>
        <v>Sat</v>
      </c>
      <c r="T20" s="22" t="str">
        <f t="shared" si="10"/>
        <v>Sun</v>
      </c>
      <c r="U20" s="22" t="str">
        <f t="shared" si="10"/>
        <v>Mon</v>
      </c>
      <c r="V20" s="22" t="str">
        <f t="shared" si="10"/>
        <v>Tue</v>
      </c>
      <c r="W20" s="22" t="str">
        <f t="shared" si="10"/>
        <v>Wed</v>
      </c>
      <c r="X20" s="22" t="str">
        <f t="shared" si="10"/>
        <v>Thu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3"/>
      <c r="M21" s="33"/>
      <c r="N21" s="32">
        <v>8</v>
      </c>
      <c r="O21" s="32">
        <v>8</v>
      </c>
      <c r="P21" s="32">
        <v>8</v>
      </c>
      <c r="Q21" s="32">
        <v>8</v>
      </c>
      <c r="R21" s="32">
        <v>8</v>
      </c>
      <c r="S21" s="33"/>
      <c r="T21" s="33"/>
      <c r="U21" s="32">
        <v>8</v>
      </c>
      <c r="V21" s="46">
        <v>8</v>
      </c>
      <c r="W21" s="32">
        <v>8</v>
      </c>
      <c r="X21" s="31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3"/>
      <c r="M22" s="33"/>
      <c r="N22" s="32">
        <v>8</v>
      </c>
      <c r="O22" s="32">
        <v>8</v>
      </c>
      <c r="P22" s="32">
        <v>8</v>
      </c>
      <c r="Q22" s="32">
        <v>8</v>
      </c>
      <c r="R22" s="32">
        <v>8</v>
      </c>
      <c r="S22" s="33"/>
      <c r="T22" s="33"/>
      <c r="U22" s="32">
        <v>8</v>
      </c>
      <c r="V22" s="46">
        <v>8</v>
      </c>
      <c r="W22" s="32">
        <v>8</v>
      </c>
      <c r="X22" s="31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80</v>
      </c>
      <c r="G23" s="29">
        <f t="shared" si="14"/>
        <v>80</v>
      </c>
      <c r="H23" s="30">
        <v>0</v>
      </c>
      <c r="I23" s="32">
        <v>8</v>
      </c>
      <c r="J23" s="32">
        <v>8</v>
      </c>
      <c r="K23" s="32">
        <v>8</v>
      </c>
      <c r="L23" s="33"/>
      <c r="M23" s="33"/>
      <c r="N23" s="38"/>
      <c r="O23" s="32">
        <v>8</v>
      </c>
      <c r="P23" s="32">
        <v>8</v>
      </c>
      <c r="Q23" s="32">
        <v>8</v>
      </c>
      <c r="R23" s="48">
        <v>8</v>
      </c>
      <c r="S23" s="33"/>
      <c r="T23" s="33"/>
      <c r="U23" s="32">
        <v>8</v>
      </c>
      <c r="V23" s="46">
        <v>8</v>
      </c>
      <c r="W23" s="32">
        <v>8</v>
      </c>
      <c r="X23" s="31"/>
      <c r="Y23" s="29">
        <f t="shared" si="15"/>
        <v>1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3"/>
      <c r="M24" s="33"/>
      <c r="N24" s="32">
        <v>8</v>
      </c>
      <c r="O24" s="32">
        <v>8</v>
      </c>
      <c r="P24" s="32">
        <v>8</v>
      </c>
      <c r="Q24" s="32">
        <v>8</v>
      </c>
      <c r="R24" s="32">
        <v>8</v>
      </c>
      <c r="S24" s="33"/>
      <c r="T24" s="33"/>
      <c r="U24" s="32">
        <v>8</v>
      </c>
      <c r="V24" s="46">
        <v>8</v>
      </c>
      <c r="W24" s="32">
        <v>8</v>
      </c>
      <c r="X24" s="31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3"/>
      <c r="M25" s="33"/>
      <c r="N25" s="32">
        <v>8</v>
      </c>
      <c r="O25" s="32">
        <v>8</v>
      </c>
      <c r="P25" s="32">
        <v>8</v>
      </c>
      <c r="Q25" s="32">
        <v>8</v>
      </c>
      <c r="R25" s="48">
        <v>8</v>
      </c>
      <c r="S25" s="33"/>
      <c r="T25" s="33"/>
      <c r="U25" s="32">
        <v>8</v>
      </c>
      <c r="V25" s="46">
        <v>8</v>
      </c>
      <c r="W25" s="32">
        <v>8</v>
      </c>
      <c r="X25" s="31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3"/>
      <c r="M26" s="33"/>
      <c r="N26" s="32">
        <v>8</v>
      </c>
      <c r="O26" s="32">
        <v>8</v>
      </c>
      <c r="P26" s="32">
        <v>8</v>
      </c>
      <c r="Q26" s="32">
        <v>8</v>
      </c>
      <c r="R26" s="32">
        <v>8</v>
      </c>
      <c r="S26" s="33"/>
      <c r="T26" s="33"/>
      <c r="U26" s="32">
        <v>8</v>
      </c>
      <c r="V26" s="32">
        <v>8</v>
      </c>
      <c r="W26" s="32">
        <v>8</v>
      </c>
      <c r="X26" s="31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520</v>
      </c>
      <c r="G32" s="194">
        <f t="shared" si="16"/>
        <v>520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0</v>
      </c>
      <c r="M32" s="194">
        <f t="shared" si="16"/>
        <v>0</v>
      </c>
      <c r="N32" s="194">
        <f t="shared" si="16"/>
        <v>40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0</v>
      </c>
      <c r="T32" s="194">
        <f t="shared" si="16"/>
        <v>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168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168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7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45597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45597</v>
      </c>
      <c r="J3" s="14">
        <f t="shared" ref="J3:W3" si="0">I3+1</f>
        <v>45598</v>
      </c>
      <c r="K3" s="14">
        <f t="shared" si="0"/>
        <v>45599</v>
      </c>
      <c r="L3" s="14">
        <f t="shared" si="0"/>
        <v>45600</v>
      </c>
      <c r="M3" s="14">
        <f t="shared" si="0"/>
        <v>45601</v>
      </c>
      <c r="N3" s="14">
        <f t="shared" si="0"/>
        <v>45602</v>
      </c>
      <c r="O3" s="14">
        <f t="shared" si="0"/>
        <v>45603</v>
      </c>
      <c r="P3" s="14">
        <f t="shared" si="0"/>
        <v>45604</v>
      </c>
      <c r="Q3" s="14">
        <f t="shared" si="0"/>
        <v>45605</v>
      </c>
      <c r="R3" s="14">
        <f t="shared" si="0"/>
        <v>45606</v>
      </c>
      <c r="S3" s="14">
        <f t="shared" si="0"/>
        <v>45607</v>
      </c>
      <c r="T3" s="14">
        <f t="shared" si="0"/>
        <v>45608</v>
      </c>
      <c r="U3" s="14">
        <f t="shared" si="0"/>
        <v>45609</v>
      </c>
      <c r="V3" s="14">
        <f t="shared" si="0"/>
        <v>45610</v>
      </c>
      <c r="W3" s="14">
        <f t="shared" si="0"/>
        <v>45611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3"/>
      <c r="K6" s="33"/>
      <c r="L6" s="32">
        <v>8</v>
      </c>
      <c r="M6" s="32">
        <v>8</v>
      </c>
      <c r="N6" s="32">
        <v>8</v>
      </c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1"/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1"/>
      <c r="J9" s="33"/>
      <c r="K9" s="33"/>
      <c r="L9" s="38"/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3"/>
      <c r="K10" s="33"/>
      <c r="L10" s="32">
        <v>8</v>
      </c>
      <c r="M10" s="32">
        <v>8</v>
      </c>
      <c r="N10" s="32">
        <v>8</v>
      </c>
      <c r="O10" s="38"/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0</v>
      </c>
      <c r="L16" s="194">
        <f t="shared" si="8"/>
        <v>40</v>
      </c>
      <c r="M16" s="194">
        <f t="shared" si="8"/>
        <v>48</v>
      </c>
      <c r="N16" s="194">
        <f t="shared" si="8"/>
        <v>48</v>
      </c>
      <c r="O16" s="194">
        <f t="shared" si="8"/>
        <v>40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45612</v>
      </c>
      <c r="J19" s="44">
        <f t="shared" ref="J19:W19" si="9">I19+1</f>
        <v>45613</v>
      </c>
      <c r="K19" s="44">
        <f t="shared" si="9"/>
        <v>45614</v>
      </c>
      <c r="L19" s="14">
        <f t="shared" si="9"/>
        <v>45615</v>
      </c>
      <c r="M19" s="44">
        <f t="shared" si="9"/>
        <v>45616</v>
      </c>
      <c r="N19" s="44">
        <f t="shared" si="9"/>
        <v>45617</v>
      </c>
      <c r="O19" s="44">
        <f t="shared" si="9"/>
        <v>45618</v>
      </c>
      <c r="P19" s="44">
        <f t="shared" si="9"/>
        <v>45619</v>
      </c>
      <c r="Q19" s="44">
        <f t="shared" si="9"/>
        <v>45620</v>
      </c>
      <c r="R19" s="44">
        <f t="shared" si="9"/>
        <v>45621</v>
      </c>
      <c r="S19" s="44">
        <f t="shared" si="9"/>
        <v>45622</v>
      </c>
      <c r="T19" s="44">
        <f t="shared" si="9"/>
        <v>45623</v>
      </c>
      <c r="U19" s="44">
        <f t="shared" si="9"/>
        <v>45624</v>
      </c>
      <c r="V19" s="44">
        <f t="shared" si="9"/>
        <v>45625</v>
      </c>
      <c r="W19" s="44">
        <f t="shared" si="9"/>
        <v>45626</v>
      </c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46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2">
        <v>8</v>
      </c>
      <c r="O21" s="32">
        <v>8</v>
      </c>
      <c r="P21" s="33"/>
      <c r="Q21" s="33"/>
      <c r="R21" s="32">
        <v>8</v>
      </c>
      <c r="S21" s="32">
        <v>8</v>
      </c>
      <c r="T21" s="32">
        <v>8</v>
      </c>
      <c r="U21" s="32">
        <v>8</v>
      </c>
      <c r="V21" s="46">
        <v>8</v>
      </c>
      <c r="W21" s="33"/>
      <c r="X21" s="32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33"/>
      <c r="K22" s="32">
        <v>8</v>
      </c>
      <c r="L22" s="32">
        <v>8</v>
      </c>
      <c r="M22" s="32">
        <v>8</v>
      </c>
      <c r="N22" s="32">
        <v>8</v>
      </c>
      <c r="O22" s="32">
        <v>8</v>
      </c>
      <c r="P22" s="33"/>
      <c r="Q22" s="33"/>
      <c r="R22" s="32">
        <v>8</v>
      </c>
      <c r="S22" s="32">
        <v>8</v>
      </c>
      <c r="T22" s="32">
        <v>8</v>
      </c>
      <c r="U22" s="32">
        <v>8</v>
      </c>
      <c r="V22" s="46">
        <v>8</v>
      </c>
      <c r="W22" s="33"/>
      <c r="X22" s="32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3"/>
      <c r="J23" s="33"/>
      <c r="K23" s="32">
        <v>8</v>
      </c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38"/>
      <c r="S23" s="32">
        <v>8</v>
      </c>
      <c r="T23" s="32">
        <v>8</v>
      </c>
      <c r="U23" s="32">
        <v>8</v>
      </c>
      <c r="V23" s="46">
        <v>8</v>
      </c>
      <c r="W23" s="33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72</v>
      </c>
      <c r="G24" s="29">
        <f t="shared" si="14"/>
        <v>72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2">
        <v>8</v>
      </c>
      <c r="S24" s="38"/>
      <c r="T24" s="32">
        <v>8</v>
      </c>
      <c r="U24" s="32">
        <v>8</v>
      </c>
      <c r="V24" s="46">
        <v>8</v>
      </c>
      <c r="W24" s="33"/>
      <c r="X24" s="32"/>
      <c r="Y24" s="29">
        <f t="shared" si="15"/>
        <v>1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48">
        <v>8</v>
      </c>
      <c r="S25" s="32">
        <v>8</v>
      </c>
      <c r="T25" s="32">
        <v>8</v>
      </c>
      <c r="U25" s="32">
        <v>8</v>
      </c>
      <c r="V25" s="46">
        <v>8</v>
      </c>
      <c r="W25" s="33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72</v>
      </c>
      <c r="G26" s="29">
        <f t="shared" si="14"/>
        <v>72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2">
        <v>8</v>
      </c>
      <c r="S26" s="32">
        <v>8</v>
      </c>
      <c r="T26" s="32">
        <v>8</v>
      </c>
      <c r="U26" s="38"/>
      <c r="V26" s="32">
        <v>8</v>
      </c>
      <c r="W26" s="33"/>
      <c r="X26" s="32"/>
      <c r="Y26" s="29">
        <f t="shared" si="15"/>
        <v>1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40</v>
      </c>
      <c r="S32" s="194">
        <f t="shared" si="16"/>
        <v>40</v>
      </c>
      <c r="T32" s="194">
        <f t="shared" si="16"/>
        <v>48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160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152</v>
      </c>
      <c r="C40" s="60">
        <f t="shared" si="18"/>
        <v>160</v>
      </c>
      <c r="D40" s="61">
        <f t="shared" si="19"/>
        <v>152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144</v>
      </c>
      <c r="C41" s="67">
        <f t="shared" si="18"/>
        <v>160</v>
      </c>
      <c r="D41" s="68">
        <f t="shared" si="19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45627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45627</v>
      </c>
      <c r="J3" s="14">
        <f t="shared" ref="J3:W3" si="0">I3+1</f>
        <v>45628</v>
      </c>
      <c r="K3" s="14">
        <f t="shared" si="0"/>
        <v>45629</v>
      </c>
      <c r="L3" s="14">
        <f t="shared" si="0"/>
        <v>45630</v>
      </c>
      <c r="M3" s="14">
        <f t="shared" si="0"/>
        <v>45631</v>
      </c>
      <c r="N3" s="14">
        <f t="shared" si="0"/>
        <v>45632</v>
      </c>
      <c r="O3" s="14">
        <f t="shared" si="0"/>
        <v>45633</v>
      </c>
      <c r="P3" s="14">
        <f t="shared" si="0"/>
        <v>45634</v>
      </c>
      <c r="Q3" s="14">
        <f t="shared" si="0"/>
        <v>45635</v>
      </c>
      <c r="R3" s="14">
        <f t="shared" si="0"/>
        <v>45636</v>
      </c>
      <c r="S3" s="14">
        <f t="shared" si="0"/>
        <v>45637</v>
      </c>
      <c r="T3" s="14">
        <f t="shared" si="0"/>
        <v>45638</v>
      </c>
      <c r="U3" s="14">
        <f t="shared" si="0"/>
        <v>45639</v>
      </c>
      <c r="V3" s="14">
        <f t="shared" si="0"/>
        <v>45640</v>
      </c>
      <c r="W3" s="14">
        <f t="shared" si="0"/>
        <v>45641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6" si="6">Y5-COUNTA(I5:W5)</f>
        <v>0</v>
      </c>
      <c r="Y5" s="34">
        <f t="shared" ref="Y5:Y11" si="7">NETWORKDAYS($I$3,$W$3)</f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3"/>
      <c r="J6" s="32">
        <v>4</v>
      </c>
      <c r="K6" s="32">
        <v>4</v>
      </c>
      <c r="L6" s="32">
        <v>4</v>
      </c>
      <c r="M6" s="32">
        <v>4</v>
      </c>
      <c r="N6" s="32">
        <v>4</v>
      </c>
      <c r="O6" s="33"/>
      <c r="P6" s="33"/>
      <c r="Q6" s="32">
        <v>4</v>
      </c>
      <c r="R6" s="32">
        <v>4</v>
      </c>
      <c r="S6" s="32">
        <v>4</v>
      </c>
      <c r="T6" s="32">
        <v>4</v>
      </c>
      <c r="U6" s="32">
        <v>4</v>
      </c>
      <c r="V6" s="33"/>
      <c r="W6" s="33"/>
      <c r="X6" s="29">
        <f t="shared" si="6"/>
        <v>0</v>
      </c>
      <c r="Y6" s="34">
        <f t="shared" si="7"/>
        <v>10</v>
      </c>
      <c r="Z6" s="13"/>
      <c r="AA6" s="102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48</v>
      </c>
      <c r="G7" s="29">
        <f t="shared" si="5"/>
        <v>48</v>
      </c>
      <c r="H7" s="30">
        <v>0</v>
      </c>
      <c r="I7" s="33"/>
      <c r="J7" s="197"/>
      <c r="K7" s="197"/>
      <c r="L7" s="197"/>
      <c r="M7" s="197"/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v>4</v>
      </c>
      <c r="Y7" s="34">
        <f t="shared" si="7"/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2">
        <v>8</v>
      </c>
      <c r="S8" s="32">
        <v>8</v>
      </c>
      <c r="T8" s="32">
        <v>8</v>
      </c>
      <c r="U8" s="32">
        <v>8</v>
      </c>
      <c r="V8" s="33"/>
      <c r="W8" s="33"/>
      <c r="X8" s="29">
        <f t="shared" ref="X8:X15" si="8">Y8-COUNTA(I8:W8)</f>
        <v>0</v>
      </c>
      <c r="Y8" s="34">
        <f t="shared" si="7"/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3"/>
      <c r="W9" s="33"/>
      <c r="X9" s="29">
        <f t="shared" si="8"/>
        <v>0</v>
      </c>
      <c r="Y9" s="34">
        <f t="shared" si="7"/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2">
        <v>8</v>
      </c>
      <c r="R10" s="32">
        <v>8</v>
      </c>
      <c r="S10" s="32">
        <v>8</v>
      </c>
      <c r="T10" s="198">
        <v>8</v>
      </c>
      <c r="U10" s="32">
        <v>8</v>
      </c>
      <c r="V10" s="33"/>
      <c r="W10" s="33"/>
      <c r="X10" s="29">
        <f t="shared" si="8"/>
        <v>0</v>
      </c>
      <c r="Y10" s="34">
        <f t="shared" si="7"/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3"/>
      <c r="J11" s="32">
        <v>4</v>
      </c>
      <c r="K11" s="32">
        <v>4</v>
      </c>
      <c r="L11" s="32">
        <v>4</v>
      </c>
      <c r="M11" s="32">
        <v>4</v>
      </c>
      <c r="N11" s="32">
        <v>4</v>
      </c>
      <c r="O11" s="33"/>
      <c r="P11" s="33"/>
      <c r="Q11" s="32">
        <v>4</v>
      </c>
      <c r="R11" s="32">
        <v>4</v>
      </c>
      <c r="S11" s="103">
        <v>4</v>
      </c>
      <c r="T11" s="197"/>
      <c r="U11" s="43">
        <v>4</v>
      </c>
      <c r="V11" s="33"/>
      <c r="W11" s="33"/>
      <c r="X11" s="29">
        <f t="shared" si="8"/>
        <v>1</v>
      </c>
      <c r="Y11" s="34">
        <f t="shared" si="7"/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04"/>
      <c r="U12" s="41"/>
      <c r="V12" s="41"/>
      <c r="W12" s="41"/>
      <c r="X12" s="29">
        <f t="shared" si="8"/>
        <v>10</v>
      </c>
      <c r="Y12" s="30">
        <f t="shared" ref="Y12:Y15" si="9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8"/>
        <v>10</v>
      </c>
      <c r="Y13" s="30">
        <f t="shared" si="9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8"/>
        <v>10</v>
      </c>
      <c r="Y14" s="30">
        <f t="shared" si="9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8"/>
        <v>10</v>
      </c>
      <c r="Y15" s="30">
        <f t="shared" si="9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10">SUM(D5:D15)</f>
        <v>560</v>
      </c>
      <c r="E16" s="194">
        <f t="shared" si="10"/>
        <v>560</v>
      </c>
      <c r="F16" s="194">
        <f t="shared" si="10"/>
        <v>444</v>
      </c>
      <c r="G16" s="194">
        <f t="shared" si="10"/>
        <v>444</v>
      </c>
      <c r="H16" s="194">
        <f t="shared" si="10"/>
        <v>0</v>
      </c>
      <c r="I16" s="194">
        <f t="shared" si="10"/>
        <v>0</v>
      </c>
      <c r="J16" s="194">
        <f t="shared" si="10"/>
        <v>40</v>
      </c>
      <c r="K16" s="194">
        <f t="shared" si="10"/>
        <v>40</v>
      </c>
      <c r="L16" s="194">
        <f t="shared" si="10"/>
        <v>40</v>
      </c>
      <c r="M16" s="194">
        <f t="shared" si="10"/>
        <v>40</v>
      </c>
      <c r="N16" s="194">
        <f t="shared" si="10"/>
        <v>48</v>
      </c>
      <c r="O16" s="194">
        <f t="shared" si="10"/>
        <v>0</v>
      </c>
      <c r="P16" s="194">
        <f t="shared" si="10"/>
        <v>0</v>
      </c>
      <c r="Q16" s="194">
        <f t="shared" si="10"/>
        <v>48</v>
      </c>
      <c r="R16" s="194">
        <f t="shared" si="10"/>
        <v>48</v>
      </c>
      <c r="S16" s="194">
        <f t="shared" si="10"/>
        <v>48</v>
      </c>
      <c r="T16" s="194">
        <f t="shared" si="10"/>
        <v>44</v>
      </c>
      <c r="U16" s="194">
        <f t="shared" si="10"/>
        <v>48</v>
      </c>
      <c r="V16" s="194">
        <f t="shared" si="10"/>
        <v>0</v>
      </c>
      <c r="W16" s="194">
        <f t="shared" si="10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45642</v>
      </c>
      <c r="J19" s="44">
        <f t="shared" ref="J19:X19" si="11">I19+1</f>
        <v>45643</v>
      </c>
      <c r="K19" s="44">
        <f t="shared" si="11"/>
        <v>45644</v>
      </c>
      <c r="L19" s="14">
        <f t="shared" si="11"/>
        <v>45645</v>
      </c>
      <c r="M19" s="44">
        <f t="shared" si="11"/>
        <v>45646</v>
      </c>
      <c r="N19" s="44">
        <f t="shared" si="11"/>
        <v>45647</v>
      </c>
      <c r="O19" s="44">
        <f t="shared" si="11"/>
        <v>45648</v>
      </c>
      <c r="P19" s="44">
        <f t="shared" si="11"/>
        <v>45649</v>
      </c>
      <c r="Q19" s="44">
        <f t="shared" si="11"/>
        <v>45650</v>
      </c>
      <c r="R19" s="44">
        <f t="shared" si="11"/>
        <v>45651</v>
      </c>
      <c r="S19" s="44">
        <f t="shared" si="11"/>
        <v>45652</v>
      </c>
      <c r="T19" s="44">
        <f t="shared" si="11"/>
        <v>45653</v>
      </c>
      <c r="U19" s="44">
        <f t="shared" si="11"/>
        <v>45654</v>
      </c>
      <c r="V19" s="44">
        <f t="shared" si="11"/>
        <v>45655</v>
      </c>
      <c r="W19" s="44">
        <f t="shared" si="11"/>
        <v>45656</v>
      </c>
      <c r="X19" s="44">
        <f t="shared" si="11"/>
        <v>45657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2">IF(I19="","",TEXT(WEEKDAY(I19), "ddd"))</f>
        <v>Mon</v>
      </c>
      <c r="J20" s="22" t="str">
        <f t="shared" si="12"/>
        <v>Tue</v>
      </c>
      <c r="K20" s="22" t="str">
        <f t="shared" si="12"/>
        <v>Wed</v>
      </c>
      <c r="L20" s="22" t="str">
        <f t="shared" si="12"/>
        <v>Thu</v>
      </c>
      <c r="M20" s="22" t="str">
        <f t="shared" si="12"/>
        <v>Fri</v>
      </c>
      <c r="N20" s="22" t="str">
        <f t="shared" si="12"/>
        <v>Sat</v>
      </c>
      <c r="O20" s="22" t="str">
        <f t="shared" si="12"/>
        <v>Sun</v>
      </c>
      <c r="P20" s="21" t="str">
        <f t="shared" si="12"/>
        <v>Mon</v>
      </c>
      <c r="Q20" s="21" t="str">
        <f t="shared" si="12"/>
        <v>Tue</v>
      </c>
      <c r="R20" s="22" t="str">
        <f t="shared" si="12"/>
        <v>Wed</v>
      </c>
      <c r="S20" s="22" t="str">
        <f t="shared" si="12"/>
        <v>Thu</v>
      </c>
      <c r="T20" s="22" t="str">
        <f t="shared" si="12"/>
        <v>Fri</v>
      </c>
      <c r="U20" s="22" t="str">
        <f t="shared" si="12"/>
        <v>Sat</v>
      </c>
      <c r="V20" s="22" t="str">
        <f t="shared" si="12"/>
        <v>Sun</v>
      </c>
      <c r="W20" s="22" t="str">
        <f t="shared" si="12"/>
        <v>Mon</v>
      </c>
      <c r="X20" s="22" t="str">
        <f t="shared" si="12"/>
        <v>Tue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3">E21</f>
        <v>88</v>
      </c>
      <c r="E21" s="29">
        <f t="shared" ref="E21:E27" si="14">Z21*8</f>
        <v>88</v>
      </c>
      <c r="F21" s="29">
        <f t="shared" ref="F21:F27" si="15">G21+H21</f>
        <v>64</v>
      </c>
      <c r="G21" s="29">
        <f t="shared" ref="G21:G27" si="16">SUM(I21:X21)</f>
        <v>64</v>
      </c>
      <c r="H21" s="30">
        <v>0</v>
      </c>
      <c r="I21" s="32">
        <v>8</v>
      </c>
      <c r="J21" s="32">
        <v>8</v>
      </c>
      <c r="K21" s="32">
        <v>8</v>
      </c>
      <c r="L21" s="38"/>
      <c r="M21" s="38"/>
      <c r="N21" s="33"/>
      <c r="O21" s="33"/>
      <c r="P21" s="32">
        <v>8</v>
      </c>
      <c r="Q21" s="38"/>
      <c r="R21" s="31"/>
      <c r="S21" s="32">
        <v>8</v>
      </c>
      <c r="T21" s="32">
        <v>8</v>
      </c>
      <c r="U21" s="33"/>
      <c r="V21" s="100"/>
      <c r="W21" s="32">
        <v>8</v>
      </c>
      <c r="X21" s="32">
        <v>8</v>
      </c>
      <c r="Y21" s="29">
        <f t="shared" ref="Y21:Y25" si="17">Z21-COUNTA(I21:X21)</f>
        <v>3</v>
      </c>
      <c r="Z21" s="34">
        <f t="shared" ref="Z21:Z27" si="18">NETWORKDAYS($I$19,$X$19,$R$19)</f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3"/>
        <v>88</v>
      </c>
      <c r="E22" s="29">
        <f t="shared" si="14"/>
        <v>88</v>
      </c>
      <c r="F22" s="29">
        <f t="shared" si="15"/>
        <v>20</v>
      </c>
      <c r="G22" s="29">
        <f t="shared" si="16"/>
        <v>20</v>
      </c>
      <c r="H22" s="30">
        <v>0</v>
      </c>
      <c r="I22" s="32">
        <v>4</v>
      </c>
      <c r="J22" s="32">
        <v>4</v>
      </c>
      <c r="K22" s="32">
        <v>4</v>
      </c>
      <c r="L22" s="32">
        <v>4</v>
      </c>
      <c r="M22" s="32">
        <v>4</v>
      </c>
      <c r="N22" s="33"/>
      <c r="O22" s="33"/>
      <c r="P22" s="38"/>
      <c r="Q22" s="38"/>
      <c r="R22" s="31"/>
      <c r="S22" s="38"/>
      <c r="T22" s="38"/>
      <c r="U22" s="33"/>
      <c r="V22" s="100"/>
      <c r="W22" s="38"/>
      <c r="X22" s="38"/>
      <c r="Y22" s="29">
        <f t="shared" si="17"/>
        <v>6</v>
      </c>
      <c r="Z22" s="34">
        <f t="shared" si="18"/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3"/>
        <v>88</v>
      </c>
      <c r="E23" s="29">
        <f t="shared" si="14"/>
        <v>88</v>
      </c>
      <c r="F23" s="29">
        <f t="shared" si="15"/>
        <v>88</v>
      </c>
      <c r="G23" s="29">
        <f t="shared" si="16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31"/>
      <c r="S23" s="32">
        <v>8</v>
      </c>
      <c r="T23" s="32">
        <v>8</v>
      </c>
      <c r="U23" s="33"/>
      <c r="V23" s="100"/>
      <c r="W23" s="32">
        <v>8</v>
      </c>
      <c r="X23" s="32">
        <v>8</v>
      </c>
      <c r="Y23" s="29">
        <f t="shared" si="17"/>
        <v>0</v>
      </c>
      <c r="Z23" s="34">
        <f t="shared" si="18"/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3"/>
        <v>88</v>
      </c>
      <c r="E24" s="29">
        <f t="shared" si="14"/>
        <v>88</v>
      </c>
      <c r="F24" s="29">
        <f t="shared" si="15"/>
        <v>88</v>
      </c>
      <c r="G24" s="29">
        <f t="shared" si="16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1"/>
      <c r="S24" s="32">
        <v>8</v>
      </c>
      <c r="T24" s="32">
        <v>8</v>
      </c>
      <c r="U24" s="33"/>
      <c r="V24" s="100"/>
      <c r="W24" s="32">
        <v>8</v>
      </c>
      <c r="X24" s="32">
        <v>8</v>
      </c>
      <c r="Y24" s="29">
        <f t="shared" si="17"/>
        <v>0</v>
      </c>
      <c r="Z24" s="34">
        <f t="shared" si="18"/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3"/>
        <v>88</v>
      </c>
      <c r="E25" s="29">
        <f t="shared" si="14"/>
        <v>88</v>
      </c>
      <c r="F25" s="29">
        <f t="shared" si="15"/>
        <v>64</v>
      </c>
      <c r="G25" s="29">
        <f t="shared" si="16"/>
        <v>64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92"/>
      <c r="S25" s="38"/>
      <c r="T25" s="38"/>
      <c r="U25" s="33"/>
      <c r="V25" s="100"/>
      <c r="W25" s="38"/>
      <c r="X25" s="32">
        <v>8</v>
      </c>
      <c r="Y25" s="29">
        <f t="shared" si="17"/>
        <v>3</v>
      </c>
      <c r="Z25" s="34">
        <f t="shared" si="18"/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3"/>
        <v>88</v>
      </c>
      <c r="E26" s="29">
        <f t="shared" si="14"/>
        <v>88</v>
      </c>
      <c r="F26" s="29">
        <f t="shared" si="15"/>
        <v>64</v>
      </c>
      <c r="G26" s="29">
        <f t="shared" si="16"/>
        <v>64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1"/>
      <c r="S26" s="32">
        <v>8</v>
      </c>
      <c r="T26" s="38">
        <v>0</v>
      </c>
      <c r="U26" s="33"/>
      <c r="V26" s="33"/>
      <c r="W26" s="38">
        <v>0</v>
      </c>
      <c r="X26" s="38">
        <v>0</v>
      </c>
      <c r="Y26" s="29">
        <v>3</v>
      </c>
      <c r="Z26" s="34">
        <f t="shared" si="18"/>
        <v>11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3"/>
        <v>88</v>
      </c>
      <c r="E27" s="29">
        <f t="shared" si="14"/>
        <v>88</v>
      </c>
      <c r="F27" s="29">
        <f t="shared" si="15"/>
        <v>36</v>
      </c>
      <c r="G27" s="29">
        <f t="shared" si="16"/>
        <v>36</v>
      </c>
      <c r="H27" s="30">
        <v>0</v>
      </c>
      <c r="I27" s="32">
        <v>4</v>
      </c>
      <c r="J27" s="32">
        <v>4</v>
      </c>
      <c r="K27" s="32">
        <v>4</v>
      </c>
      <c r="L27" s="32">
        <v>4</v>
      </c>
      <c r="M27" s="32">
        <v>4</v>
      </c>
      <c r="N27" s="47"/>
      <c r="O27" s="47"/>
      <c r="P27" s="48">
        <v>4</v>
      </c>
      <c r="Q27" s="48">
        <v>4</v>
      </c>
      <c r="R27" s="92"/>
      <c r="S27" s="48">
        <v>4</v>
      </c>
      <c r="T27" s="48">
        <v>4</v>
      </c>
      <c r="U27" s="47"/>
      <c r="V27" s="47"/>
      <c r="W27" s="38"/>
      <c r="X27" s="38"/>
      <c r="Y27" s="29">
        <f>Z27-COUNTA(I27:X27)</f>
        <v>2</v>
      </c>
      <c r="Z27" s="34">
        <f t="shared" si="18"/>
        <v>11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9">SUM(D21:D31)</f>
        <v>616</v>
      </c>
      <c r="E32" s="194">
        <f t="shared" si="19"/>
        <v>616</v>
      </c>
      <c r="F32" s="194">
        <f t="shared" si="19"/>
        <v>424</v>
      </c>
      <c r="G32" s="194">
        <f t="shared" si="19"/>
        <v>424</v>
      </c>
      <c r="H32" s="194">
        <f t="shared" si="19"/>
        <v>0</v>
      </c>
      <c r="I32" s="194">
        <f t="shared" si="19"/>
        <v>48</v>
      </c>
      <c r="J32" s="194">
        <f t="shared" si="19"/>
        <v>48</v>
      </c>
      <c r="K32" s="194">
        <f t="shared" si="19"/>
        <v>48</v>
      </c>
      <c r="L32" s="194">
        <f t="shared" si="19"/>
        <v>40</v>
      </c>
      <c r="M32" s="194">
        <f t="shared" si="19"/>
        <v>40</v>
      </c>
      <c r="N32" s="194">
        <f t="shared" si="19"/>
        <v>0</v>
      </c>
      <c r="O32" s="194">
        <f t="shared" si="19"/>
        <v>0</v>
      </c>
      <c r="P32" s="194">
        <f t="shared" si="19"/>
        <v>44</v>
      </c>
      <c r="Q32" s="194">
        <f t="shared" si="19"/>
        <v>36</v>
      </c>
      <c r="R32" s="194">
        <f t="shared" si="19"/>
        <v>0</v>
      </c>
      <c r="S32" s="194">
        <f t="shared" si="19"/>
        <v>36</v>
      </c>
      <c r="T32" s="194">
        <f t="shared" si="19"/>
        <v>28</v>
      </c>
      <c r="U32" s="194">
        <f t="shared" si="19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20">F5+F21</f>
        <v>144</v>
      </c>
      <c r="C36" s="60">
        <f t="shared" ref="C36:C42" si="21">E5+E21</f>
        <v>168</v>
      </c>
      <c r="D36" s="61">
        <f t="shared" ref="D36:D42" si="22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20"/>
        <v>60</v>
      </c>
      <c r="C37" s="60">
        <f t="shared" si="21"/>
        <v>168</v>
      </c>
      <c r="D37" s="61">
        <f t="shared" si="22"/>
        <v>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20"/>
        <v>136</v>
      </c>
      <c r="C38" s="60">
        <f t="shared" si="21"/>
        <v>168</v>
      </c>
      <c r="D38" s="61">
        <f t="shared" si="22"/>
        <v>136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20"/>
        <v>168</v>
      </c>
      <c r="C39" s="60">
        <f t="shared" si="21"/>
        <v>168</v>
      </c>
      <c r="D39" s="61">
        <f t="shared" si="22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20"/>
        <v>144</v>
      </c>
      <c r="C40" s="60">
        <f t="shared" si="21"/>
        <v>168</v>
      </c>
      <c r="D40" s="61">
        <f t="shared" si="22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2" t="s">
        <v>20</v>
      </c>
      <c r="B41" s="59">
        <f t="shared" si="20"/>
        <v>144</v>
      </c>
      <c r="C41" s="60">
        <f t="shared" si="21"/>
        <v>168</v>
      </c>
      <c r="D41" s="61">
        <f t="shared" si="22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3">G11+G27</f>
        <v>72</v>
      </c>
      <c r="C42" s="67">
        <f t="shared" si="21"/>
        <v>168</v>
      </c>
      <c r="D42" s="68">
        <f t="shared" si="22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105"/>
      <c r="B43" s="94">
        <f t="shared" si="23"/>
        <v>0</v>
      </c>
      <c r="C43" s="95">
        <f t="shared" ref="C43:D43" si="24">B43</f>
        <v>0</v>
      </c>
      <c r="D43" s="106">
        <f t="shared" si="24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3"/>
        <v>0</v>
      </c>
      <c r="C44" s="60">
        <f t="shared" ref="C44:D44" si="25">B44</f>
        <v>0</v>
      </c>
      <c r="D44" s="61">
        <f t="shared" si="25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3"/>
        <v>0</v>
      </c>
      <c r="C45" s="60">
        <f t="shared" ref="C45:D45" si="26">B45</f>
        <v>0</v>
      </c>
      <c r="D45" s="61">
        <f t="shared" si="26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3"/>
        <v>0</v>
      </c>
      <c r="C46" s="67">
        <f t="shared" ref="C46:D46" si="27">B46</f>
        <v>0</v>
      </c>
      <c r="D46" s="68">
        <f t="shared" si="27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f>NETWORKDAYS($I$3,$W$3)</f>
        <v>10</v>
      </c>
      <c r="C51" s="79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8">B51-B52</f>
        <v>10</v>
      </c>
      <c r="C53" s="81">
        <f t="shared" si="28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f>NETWORKDAYS($I$19,$X$19)</f>
        <v>12</v>
      </c>
      <c r="C58" s="79">
        <f t="shared" ref="C58:C59" si="29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f>COUNT(R19)</f>
        <v>1</v>
      </c>
      <c r="C59" s="79">
        <f t="shared" si="29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30">B58-B59</f>
        <v>11</v>
      </c>
      <c r="C60" s="81">
        <f t="shared" si="30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JUNE'25</vt:lpstr>
      <vt:lpstr>SEPTEMBER'25</vt:lpstr>
      <vt:lpstr>OCTOBER'25</vt:lpstr>
      <vt:lpstr>NOVEMBER'25 (2)</vt:lpstr>
      <vt:lpstr>NOV'25</vt:lpstr>
      <vt:lpstr>FEBRUARY'26</vt:lpstr>
      <vt:lpstr>JANUARY'26</vt:lpstr>
      <vt:lpstr>AUGUST'25</vt:lpstr>
      <vt:lpstr>JULY'25</vt:lpstr>
      <vt:lpstr>APRIL</vt:lpstr>
      <vt:lpstr>MARCH</vt:lpstr>
      <vt:lpstr>JAN'25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Tapan Kumar</dc:creator>
  <cp:keywords/>
  <dc:description/>
  <cp:lastModifiedBy>Manohara C m</cp:lastModifiedBy>
  <cp:revision/>
  <dcterms:created xsi:type="dcterms:W3CDTF">2025-03-26T11:28:04Z</dcterms:created>
  <dcterms:modified xsi:type="dcterms:W3CDTF">2026-05-06T05:56:30Z</dcterms:modified>
  <cp:category/>
  <cp:contentStatus/>
</cp:coreProperties>
</file>