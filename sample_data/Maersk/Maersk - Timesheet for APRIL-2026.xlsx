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narayanaswamy/Downloads/Maersk_modified/"/>
    </mc:Choice>
  </mc:AlternateContent>
  <xr:revisionPtr revIDLastSave="0" documentId="13_ncr:1_{A2246BD9-6753-5A44-A6F9-D9A811C7A13A}" xr6:coauthVersionLast="47" xr6:coauthVersionMax="47" xr10:uidLastSave="{00000000-0000-0000-0000-000000000000}"/>
  <bookViews>
    <workbookView xWindow="0" yWindow="740" windowWidth="34560" windowHeight="216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23" l="1"/>
  <c r="C59" i="23"/>
  <c r="C58" i="23"/>
  <c r="B53" i="23"/>
  <c r="C52" i="23"/>
  <c r="C51" i="23"/>
  <c r="C53" i="23" s="1"/>
  <c r="B46" i="23"/>
  <c r="C46" i="23" s="1"/>
  <c r="D46" i="23" s="1"/>
  <c r="B45" i="23"/>
  <c r="C45" i="23" s="1"/>
  <c r="D45" i="23" s="1"/>
  <c r="B44" i="23"/>
  <c r="C44" i="23" s="1"/>
  <c r="D44" i="23" s="1"/>
  <c r="B43" i="23"/>
  <c r="C43" i="23" s="1"/>
  <c r="D4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7" i="23"/>
  <c r="F27" i="23"/>
  <c r="E27" i="23"/>
  <c r="D27" i="23" s="1"/>
  <c r="G25" i="23"/>
  <c r="F25" i="23" s="1"/>
  <c r="E25" i="23"/>
  <c r="D25" i="23" s="1"/>
  <c r="G24" i="23"/>
  <c r="F24" i="23" s="1"/>
  <c r="E24" i="23"/>
  <c r="D24" i="23"/>
  <c r="G23" i="23"/>
  <c r="F23" i="23"/>
  <c r="E23" i="23"/>
  <c r="D23" i="23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1" i="23"/>
  <c r="E11" i="23"/>
  <c r="D11" i="23" s="1"/>
  <c r="G9" i="23"/>
  <c r="F9" i="23" s="1"/>
  <c r="E9" i="23"/>
  <c r="D9" i="23" s="1"/>
  <c r="G8" i="23"/>
  <c r="F8" i="23" s="1"/>
  <c r="E8" i="23"/>
  <c r="D8" i="23"/>
  <c r="G7" i="23"/>
  <c r="F7" i="23"/>
  <c r="E7" i="23"/>
  <c r="D7" i="23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B37" i="23"/>
  <c r="D37" i="23" s="1"/>
  <c r="B42" i="23"/>
  <c r="D42" i="23" s="1"/>
  <c r="C42" i="23"/>
  <c r="F32" i="23"/>
  <c r="C38" i="23"/>
  <c r="B38" i="23"/>
  <c r="D38" i="23" s="1"/>
  <c r="B40" i="23"/>
  <c r="D40" i="23" s="1"/>
  <c r="F11" i="23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F16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5" i="23"/>
  <c r="X15" i="23" s="1"/>
  <c r="Y14" i="23"/>
  <c r="X14" i="23" s="1"/>
  <c r="Y13" i="23"/>
  <c r="X13" i="23" s="1"/>
  <c r="Y12" i="23"/>
  <c r="X12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<sst xmlns="http://schemas.openxmlformats.org/spreadsheetml/2006/main" count="1809" uniqueCount="49">
  <si>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</si>
  <si>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</si>
  <si>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</si>
  <si>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</si>
  <si>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</si>
  <si>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</si>
  <si>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</si>
  <si>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</si>
  <si>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</si>
  <si>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</si>
  <si>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</si>
  <si>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</si>
  <si>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</si>
  <si>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</si>
  <si>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</si>
  <si>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</si>
  <si>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</si>
  <si>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</si>
  <si>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</si>
  <si>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</si>
  <si>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</si>
  <si>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</si>
  <si>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</si>
  <si>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</si>
  <si>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</si>
  <si>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</si>
  <si>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</si>
  <si>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</si>
  <si>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</si>
  <si>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</si>
  <si>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</si>
  <si>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</si>
  <si>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</si>
  <si>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</si>
  <si>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</si>
  <si>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</si>
  <si>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</si>
  <si>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</si>
  <si>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</si>
  <si>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</t>
  </si>
  <si>
    <t>WO</t>
  </si>
  <si>
    <t>Anish</t>
  </si>
  <si>
    <t>Ankit</t>
  </si>
  <si>
    <t>Prabhu</t>
  </si>
  <si>
    <t>Bala</t>
  </si>
  <si>
    <t>Saloni</t>
  </si>
  <si>
    <t>Brajesh</t>
  </si>
  <si>
    <t>Sukesh</t>
  </si>
  <si>
    <t>Maersk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</si>
</sst>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167" fontId="23" fillId="19" borderId="8" xfId="0" applyNumberFormat="1" applyFont="1" applyFill="1" applyBorder="1" applyAlignment="1">
      <alignment horizontal="center" vertical="center"/>
    </xf>
    <xf numFmtId="167" fontId="21" fillId="19" borderId="8" xfId="0" applyNumberFormat="1" applyFont="1" applyFill="1" applyBorder="1" applyAlignment="1">
      <alignment horizontal="center" vertical="center"/>
    </xf>
    <xf numFmtId="167" fontId="21" fillId="19" borderId="2" xfId="0" applyNumberFormat="1" applyFont="1" applyFill="1" applyBorder="1" applyAlignment="1">
      <alignment horizontal="center" vertical="center"/>
    </xf>
    <xf numFmtId="167" fontId="23" fillId="0" borderId="36" xfId="0" applyNumberFormat="1" applyFont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7"/>
      <c r="G3" s="267"/>
      <c r="H3" s="268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64" t="s">
        <v>6</v>
      </c>
      <c r="Y3" s="264" t="s">
        <v>7</v>
      </c>
      <c r="Z3" s="120"/>
      <c r="AA3" s="114"/>
      <c r="AB3" s="114"/>
    </row>
    <row r="4" spans="1:35" ht="27" customHeight="1">
      <c r="A4" s="265"/>
      <c r="B4" s="265"/>
      <c r="C4" s="265"/>
      <c r="D4" s="26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5"/>
      <c r="Y4" s="26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7"/>
      <c r="G18" s="267"/>
      <c r="H18" s="268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64" t="s">
        <v>6</v>
      </c>
      <c r="Z18" s="264" t="s">
        <v>7</v>
      </c>
      <c r="AA18" s="120"/>
      <c r="AB18" s="114"/>
    </row>
    <row r="19" spans="1:29" ht="26.25" customHeight="1">
      <c r="A19" s="265"/>
      <c r="B19" s="265"/>
      <c r="C19" s="265"/>
      <c r="D19" s="26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5"/>
      <c r="Z19" s="26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59"/>
      <c r="G3" s="259"/>
      <c r="H3" s="259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8" t="s">
        <v>6</v>
      </c>
      <c r="Y3" s="258" t="s">
        <v>7</v>
      </c>
      <c r="Z3" s="209"/>
      <c r="AA3" s="114"/>
      <c r="AB3" s="114"/>
    </row>
    <row r="4" spans="1:35" ht="27" customHeight="1">
      <c r="A4" s="259"/>
      <c r="B4" s="259"/>
      <c r="C4" s="259"/>
      <c r="D4" s="25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9"/>
      <c r="Y4" s="259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59"/>
      <c r="G18" s="259"/>
      <c r="H18" s="259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8" t="s">
        <v>6</v>
      </c>
      <c r="Z18" s="258" t="s">
        <v>7</v>
      </c>
      <c r="AA18" s="209"/>
      <c r="AB18" s="114"/>
    </row>
    <row r="19" spans="1:29" ht="26.25" customHeight="1">
      <c r="A19" s="259"/>
      <c r="B19" s="259"/>
      <c r="C19" s="259"/>
      <c r="D19" s="25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9"/>
      <c r="Z19" s="25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59"/>
      <c r="G3" s="259"/>
      <c r="H3" s="259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8" t="s">
        <v>6</v>
      </c>
      <c r="Y3" s="258" t="s">
        <v>7</v>
      </c>
      <c r="Z3" s="209"/>
      <c r="AA3" s="114"/>
      <c r="AB3" s="114"/>
    </row>
    <row r="4" spans="1:35" ht="27" customHeight="1">
      <c r="A4" s="259"/>
      <c r="B4" s="259"/>
      <c r="C4" s="259"/>
      <c r="D4" s="25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9"/>
      <c r="Y4" s="259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59"/>
      <c r="G18" s="259"/>
      <c r="H18" s="259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8" t="s">
        <v>6</v>
      </c>
      <c r="Z18" s="258" t="s">
        <v>7</v>
      </c>
      <c r="AA18" s="209"/>
      <c r="AB18" s="114"/>
    </row>
    <row r="19" spans="1:29" ht="26.25" customHeight="1">
      <c r="A19" s="259"/>
      <c r="B19" s="259"/>
      <c r="C19" s="259"/>
      <c r="D19" s="25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9"/>
      <c r="Z19" s="25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59"/>
      <c r="G3" s="259"/>
      <c r="H3" s="259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8" t="s">
        <v>6</v>
      </c>
      <c r="Y3" s="258" t="s">
        <v>7</v>
      </c>
      <c r="Z3" s="209"/>
      <c r="AA3" s="114"/>
      <c r="AB3" s="114"/>
    </row>
    <row r="4" spans="1:35" ht="27" customHeight="1">
      <c r="A4" s="259"/>
      <c r="B4" s="259"/>
      <c r="C4" s="259"/>
      <c r="D4" s="25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9"/>
      <c r="Y4" s="259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59"/>
      <c r="G18" s="259"/>
      <c r="H18" s="259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8" t="s">
        <v>6</v>
      </c>
      <c r="Z18" s="258" t="s">
        <v>7</v>
      </c>
      <c r="AA18" s="209"/>
      <c r="AB18" s="114"/>
    </row>
    <row r="19" spans="1:29" ht="26.25" customHeight="1">
      <c r="A19" s="259"/>
      <c r="B19" s="259"/>
      <c r="C19" s="259"/>
      <c r="D19" s="25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9"/>
      <c r="Z19" s="25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workbookViewId="0">
      <pane xSplit="2" topLeftCell="C1" activePane="topRight" state="frozen"/>
      <selection pane="topRight" activeCell="B7" sqref="B7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3" ht="15.75" customHeight="1">
      <c r="A1" s="107"/>
      <c r="B1" s="108"/>
      <c r="C1" s="109">
        <v>46113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59"/>
      <c r="G3" s="259"/>
      <c r="H3" s="259"/>
      <c r="I3" s="141">
        <f>C1</f>
        <v>46113</v>
      </c>
      <c r="J3" s="141">
        <f t="shared" ref="J3:W3" si="0">I3+1</f>
        <v>46114</v>
      </c>
      <c r="K3" s="141">
        <f t="shared" si="0"/>
        <v>46115</v>
      </c>
      <c r="L3" s="141">
        <f t="shared" si="0"/>
        <v>46116</v>
      </c>
      <c r="M3" s="141">
        <f t="shared" si="0"/>
        <v>46117</v>
      </c>
      <c r="N3" s="141">
        <f t="shared" si="0"/>
        <v>46118</v>
      </c>
      <c r="O3" s="141">
        <f t="shared" si="0"/>
        <v>46119</v>
      </c>
      <c r="P3" s="141">
        <f t="shared" si="0"/>
        <v>46120</v>
      </c>
      <c r="Q3" s="141">
        <f t="shared" si="0"/>
        <v>46121</v>
      </c>
      <c r="R3" s="141">
        <f t="shared" si="0"/>
        <v>46122</v>
      </c>
      <c r="S3" s="141">
        <f t="shared" si="0"/>
        <v>46123</v>
      </c>
      <c r="T3" s="141">
        <f t="shared" si="0"/>
        <v>46124</v>
      </c>
      <c r="U3" s="141">
        <f t="shared" si="0"/>
        <v>46125</v>
      </c>
      <c r="V3" s="141">
        <f t="shared" si="0"/>
        <v>46126</v>
      </c>
      <c r="W3" s="141">
        <f t="shared" si="0"/>
        <v>46127</v>
      </c>
      <c r="X3" s="258" t="s">
        <v>6</v>
      </c>
      <c r="Y3" s="258" t="s">
        <v>7</v>
      </c>
      <c r="Z3" s="209"/>
      <c r="AA3" s="210"/>
      <c r="AB3" s="114"/>
    </row>
    <row r="4" spans="1:33" ht="27" customHeight="1" thickBot="1">
      <c r="A4" s="259"/>
      <c r="B4" s="259"/>
      <c r="C4" s="259"/>
      <c r="D4" s="25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9"/>
      <c r="Y4" s="259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41</v>
      </c>
      <c r="B5" s="132" t="s">
        <v>48</v>
      </c>
      <c r="C5" s="133">
        <v>43437</v>
      </c>
      <c r="D5" s="134">
        <f t="shared" ref="D5:D11" si="2">E5</f>
        <v>80</v>
      </c>
      <c r="E5" s="134">
        <f t="shared" ref="E5:E11" si="3">Y5*8</f>
        <v>80</v>
      </c>
      <c r="F5" s="134">
        <f t="shared" ref="F5:F11" si="4">G5+H5</f>
        <v>80</v>
      </c>
      <c r="G5" s="134">
        <f t="shared" ref="G5:G11" si="5">SUM(I5:W5)</f>
        <v>80</v>
      </c>
      <c r="H5" s="135">
        <v>0</v>
      </c>
      <c r="I5" s="183">
        <v>8</v>
      </c>
      <c r="J5" s="183">
        <v>8</v>
      </c>
      <c r="K5" s="183">
        <v>8</v>
      </c>
      <c r="L5" s="245" t="s">
        <v>40</v>
      </c>
      <c r="M5" s="245" t="s">
        <v>40</v>
      </c>
      <c r="N5" s="183">
        <v>8</v>
      </c>
      <c r="O5" s="183">
        <v>8</v>
      </c>
      <c r="P5" s="183">
        <v>8</v>
      </c>
      <c r="Q5" s="183">
        <v>8</v>
      </c>
      <c r="R5" s="186"/>
      <c r="S5" s="245" t="s">
        <v>40</v>
      </c>
      <c r="T5" s="245" t="s">
        <v>40</v>
      </c>
      <c r="U5" s="183">
        <v>8</v>
      </c>
      <c r="V5" s="183">
        <v>8</v>
      </c>
      <c r="W5" s="183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42</v>
      </c>
      <c r="B6" s="132" t="s">
        <v>48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88</v>
      </c>
      <c r="G6" s="134">
        <f t="shared" si="5"/>
        <v>88</v>
      </c>
      <c r="H6" s="135">
        <v>0</v>
      </c>
      <c r="I6" s="183">
        <v>8</v>
      </c>
      <c r="J6" s="183">
        <v>8</v>
      </c>
      <c r="K6" s="183">
        <v>8</v>
      </c>
      <c r="L6" s="245" t="s">
        <v>40</v>
      </c>
      <c r="M6" s="245" t="s">
        <v>40</v>
      </c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45" t="s">
        <v>40</v>
      </c>
      <c r="T6" s="245" t="s">
        <v>40</v>
      </c>
      <c r="U6" s="183">
        <v>8</v>
      </c>
      <c r="V6" s="183">
        <v>8</v>
      </c>
      <c r="W6" s="183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43</v>
      </c>
      <c r="B7" s="132" t="s">
        <v>48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245" t="s">
        <v>40</v>
      </c>
      <c r="M7" s="245" t="s">
        <v>40</v>
      </c>
      <c r="N7" s="183">
        <v>8</v>
      </c>
      <c r="O7" s="186"/>
      <c r="P7" s="183">
        <v>8</v>
      </c>
      <c r="Q7" s="183">
        <v>8</v>
      </c>
      <c r="R7" s="183">
        <v>8</v>
      </c>
      <c r="S7" s="245" t="s">
        <v>40</v>
      </c>
      <c r="T7" s="245" t="s">
        <v>40</v>
      </c>
      <c r="U7" s="183">
        <v>8</v>
      </c>
      <c r="V7" s="183">
        <v>8</v>
      </c>
      <c r="W7" s="183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44</v>
      </c>
      <c r="B8" s="132" t="s">
        <v>48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243">
        <v>8</v>
      </c>
      <c r="L8" s="245" t="s">
        <v>40</v>
      </c>
      <c r="M8" s="245" t="s">
        <v>40</v>
      </c>
      <c r="N8" s="243">
        <v>8</v>
      </c>
      <c r="O8" s="183">
        <v>8</v>
      </c>
      <c r="P8" s="243">
        <v>8</v>
      </c>
      <c r="Q8" s="183">
        <v>8</v>
      </c>
      <c r="R8" s="183">
        <v>8</v>
      </c>
      <c r="S8" s="245" t="s">
        <v>40</v>
      </c>
      <c r="T8" s="245" t="s">
        <v>40</v>
      </c>
      <c r="U8" s="183">
        <v>8</v>
      </c>
      <c r="V8" s="243">
        <v>8</v>
      </c>
      <c r="W8" s="183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45</v>
      </c>
      <c r="B9" s="132" t="s">
        <v>48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88</v>
      </c>
      <c r="G9" s="134">
        <f t="shared" si="5"/>
        <v>88</v>
      </c>
      <c r="H9" s="135">
        <v>0</v>
      </c>
      <c r="I9" s="241">
        <v>8</v>
      </c>
      <c r="J9" s="241">
        <v>8</v>
      </c>
      <c r="K9" s="183">
        <v>8</v>
      </c>
      <c r="L9" s="245" t="s">
        <v>40</v>
      </c>
      <c r="M9" s="245" t="s">
        <v>40</v>
      </c>
      <c r="N9" s="183">
        <v>8</v>
      </c>
      <c r="O9" s="241">
        <v>8</v>
      </c>
      <c r="P9" s="183">
        <v>8</v>
      </c>
      <c r="Q9" s="183">
        <v>8</v>
      </c>
      <c r="R9" s="183">
        <v>8</v>
      </c>
      <c r="S9" s="245" t="s">
        <v>40</v>
      </c>
      <c r="T9" s="245" t="s">
        <v>40</v>
      </c>
      <c r="U9" s="183">
        <v>8</v>
      </c>
      <c r="V9" s="183">
        <v>8</v>
      </c>
      <c r="W9" s="183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47</v>
      </c>
      <c r="B10" s="132" t="s">
        <v>48</v>
      </c>
      <c r="C10" s="138">
        <v>46120</v>
      </c>
      <c r="D10" s="134">
        <v>64</v>
      </c>
      <c r="E10" s="134">
        <v>64</v>
      </c>
      <c r="F10" s="134">
        <v>64</v>
      </c>
      <c r="G10" s="134">
        <v>64</v>
      </c>
      <c r="H10" s="135">
        <v>0</v>
      </c>
      <c r="I10" s="255"/>
      <c r="J10" s="255"/>
      <c r="K10" s="255"/>
      <c r="L10" s="245"/>
      <c r="M10" s="245"/>
      <c r="N10" s="241">
        <v>8</v>
      </c>
      <c r="O10" s="241">
        <v>8</v>
      </c>
      <c r="P10" s="241">
        <v>8</v>
      </c>
      <c r="Q10" s="241">
        <v>8</v>
      </c>
      <c r="R10" s="241">
        <v>8</v>
      </c>
      <c r="S10" s="245"/>
      <c r="T10" s="245"/>
      <c r="U10" s="241">
        <v>8</v>
      </c>
      <c r="V10" s="241">
        <v>8</v>
      </c>
      <c r="W10" s="241">
        <v>8</v>
      </c>
      <c r="X10" s="134"/>
      <c r="Y10" s="136"/>
      <c r="Z10" s="209"/>
      <c r="AA10" s="114"/>
      <c r="AB10" s="130"/>
      <c r="AC10" s="130"/>
      <c r="AD10" s="130"/>
      <c r="AE10" s="130"/>
      <c r="AF10" s="130"/>
      <c r="AG10" s="130"/>
    </row>
    <row r="11" spans="1:33" ht="12.75" customHeight="1">
      <c r="A11" s="139" t="s">
        <v>46</v>
      </c>
      <c r="B11" s="132" t="s">
        <v>48</v>
      </c>
      <c r="C11" s="138">
        <v>45628</v>
      </c>
      <c r="D11" s="134">
        <f t="shared" si="2"/>
        <v>80</v>
      </c>
      <c r="E11" s="134">
        <f t="shared" si="3"/>
        <v>80</v>
      </c>
      <c r="F11" s="134">
        <f t="shared" si="4"/>
        <v>88</v>
      </c>
      <c r="G11" s="134">
        <f t="shared" si="5"/>
        <v>88</v>
      </c>
      <c r="H11" s="135">
        <v>0</v>
      </c>
      <c r="I11" s="241">
        <v>8</v>
      </c>
      <c r="J11" s="241">
        <v>8</v>
      </c>
      <c r="K11" s="241">
        <v>8</v>
      </c>
      <c r="L11" s="245" t="s">
        <v>40</v>
      </c>
      <c r="M11" s="245" t="s">
        <v>40</v>
      </c>
      <c r="N11" s="241">
        <v>8</v>
      </c>
      <c r="O11" s="241">
        <v>8</v>
      </c>
      <c r="P11" s="241">
        <v>8</v>
      </c>
      <c r="Q11" s="241">
        <v>8</v>
      </c>
      <c r="R11" s="241">
        <v>8</v>
      </c>
      <c r="S11" s="245" t="s">
        <v>40</v>
      </c>
      <c r="T11" s="245" t="s">
        <v>40</v>
      </c>
      <c r="U11" s="241">
        <v>8</v>
      </c>
      <c r="V11" s="241">
        <v>8</v>
      </c>
      <c r="W11" s="241">
        <v>8</v>
      </c>
      <c r="X11" s="134"/>
      <c r="Y11" s="136"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ref="X12:X15" si="6">Y12-COUNTA(I12:W12)</f>
        <v>10</v>
      </c>
      <c r="Y12" s="135">
        <f t="shared" ref="Y12:Y15" si="7">NETWORKDAYS($I$3,$W$3,$W$3)</f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hidden="1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34">
        <f t="shared" si="6"/>
        <v>10</v>
      </c>
      <c r="Y15" s="135">
        <f t="shared" si="7"/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SUM(D5:D15)</f>
        <v>544</v>
      </c>
      <c r="E16" s="224">
        <f t="shared" si="8"/>
        <v>544</v>
      </c>
      <c r="F16" s="224">
        <f t="shared" si="8"/>
        <v>576</v>
      </c>
      <c r="G16" s="224">
        <f t="shared" si="8"/>
        <v>576</v>
      </c>
      <c r="H16" s="224">
        <f t="shared" si="8"/>
        <v>0</v>
      </c>
      <c r="I16" s="224">
        <f t="shared" si="8"/>
        <v>48</v>
      </c>
      <c r="J16" s="224">
        <f t="shared" si="8"/>
        <v>48</v>
      </c>
      <c r="K16" s="224">
        <f t="shared" si="8"/>
        <v>48</v>
      </c>
      <c r="L16" s="224">
        <f t="shared" si="8"/>
        <v>0</v>
      </c>
      <c r="M16" s="224">
        <f t="shared" si="8"/>
        <v>0</v>
      </c>
      <c r="N16" s="224">
        <f t="shared" si="8"/>
        <v>56</v>
      </c>
      <c r="O16" s="224">
        <f t="shared" si="8"/>
        <v>48</v>
      </c>
      <c r="P16" s="224">
        <f t="shared" si="8"/>
        <v>56</v>
      </c>
      <c r="Q16" s="224">
        <f t="shared" si="8"/>
        <v>56</v>
      </c>
      <c r="R16" s="224">
        <f t="shared" si="8"/>
        <v>48</v>
      </c>
      <c r="S16" s="224">
        <f t="shared" si="8"/>
        <v>0</v>
      </c>
      <c r="T16" s="224">
        <f t="shared" si="8"/>
        <v>0</v>
      </c>
      <c r="U16" s="224">
        <f t="shared" si="8"/>
        <v>56</v>
      </c>
      <c r="V16" s="224">
        <f t="shared" si="8"/>
        <v>56</v>
      </c>
      <c r="W16" s="224">
        <f t="shared" si="8"/>
        <v>56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58" t="s">
        <v>1</v>
      </c>
      <c r="B19" s="258" t="s">
        <v>2</v>
      </c>
      <c r="C19" s="258" t="s">
        <v>3</v>
      </c>
      <c r="D19" s="258" t="s">
        <v>4</v>
      </c>
      <c r="E19" s="263" t="s">
        <v>5</v>
      </c>
      <c r="F19" s="259"/>
      <c r="G19" s="259"/>
      <c r="H19" s="259"/>
      <c r="I19" s="141">
        <f>W3+1</f>
        <v>46128</v>
      </c>
      <c r="J19" s="141">
        <f t="shared" ref="J19:U19" si="9">I19+1</f>
        <v>46129</v>
      </c>
      <c r="K19" s="141">
        <f t="shared" si="9"/>
        <v>46130</v>
      </c>
      <c r="L19" s="141">
        <f t="shared" si="9"/>
        <v>46131</v>
      </c>
      <c r="M19" s="141">
        <f t="shared" si="9"/>
        <v>46132</v>
      </c>
      <c r="N19" s="141">
        <f t="shared" si="9"/>
        <v>46133</v>
      </c>
      <c r="O19" s="141">
        <f t="shared" si="9"/>
        <v>46134</v>
      </c>
      <c r="P19" s="141">
        <f t="shared" si="9"/>
        <v>46135</v>
      </c>
      <c r="Q19" s="141">
        <f t="shared" si="9"/>
        <v>46136</v>
      </c>
      <c r="R19" s="141">
        <f t="shared" si="9"/>
        <v>46137</v>
      </c>
      <c r="S19" s="141">
        <f t="shared" si="9"/>
        <v>46138</v>
      </c>
      <c r="T19" s="141">
        <f t="shared" si="9"/>
        <v>46139</v>
      </c>
      <c r="U19" s="141">
        <f t="shared" si="9"/>
        <v>46140</v>
      </c>
      <c r="V19" s="141">
        <f t="shared" ref="V19" si="10">U19+1</f>
        <v>46141</v>
      </c>
      <c r="W19" s="141">
        <f t="shared" ref="W19" si="11">V19+1</f>
        <v>46142</v>
      </c>
      <c r="X19" s="141"/>
      <c r="Y19" s="258" t="s">
        <v>6</v>
      </c>
      <c r="Z19" s="258" t="s">
        <v>7</v>
      </c>
      <c r="AA19" s="209"/>
      <c r="AB19" s="114"/>
    </row>
    <row r="20" spans="1:35" ht="26.25" customHeight="1">
      <c r="A20" s="259"/>
      <c r="B20" s="259"/>
      <c r="C20" s="259"/>
      <c r="D20" s="259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2">IF(I19="","",TEXT(WEEKDAY(I19), "ddd"))</f>
        <v>Thu</v>
      </c>
      <c r="J20" s="222" t="str">
        <f t="shared" si="12"/>
        <v>Fri</v>
      </c>
      <c r="K20" s="222" t="str">
        <f t="shared" si="12"/>
        <v>Sat</v>
      </c>
      <c r="L20" s="222" t="str">
        <f t="shared" si="12"/>
        <v>Sun</v>
      </c>
      <c r="M20" s="222" t="str">
        <f t="shared" si="12"/>
        <v>Mon</v>
      </c>
      <c r="N20" s="222" t="str">
        <f t="shared" si="12"/>
        <v>Tue</v>
      </c>
      <c r="O20" s="222" t="str">
        <f t="shared" si="12"/>
        <v>Wed</v>
      </c>
      <c r="P20" s="127" t="str">
        <f t="shared" si="12"/>
        <v>Thu</v>
      </c>
      <c r="Q20" s="127" t="str">
        <f t="shared" si="12"/>
        <v>Fri</v>
      </c>
      <c r="R20" s="222" t="str">
        <f t="shared" si="12"/>
        <v>Sat</v>
      </c>
      <c r="S20" s="222" t="str">
        <f t="shared" si="12"/>
        <v>Sun</v>
      </c>
      <c r="T20" s="222" t="str">
        <f t="shared" si="12"/>
        <v>Mon</v>
      </c>
      <c r="U20" s="222" t="str">
        <f t="shared" si="12"/>
        <v>Tue</v>
      </c>
      <c r="V20" s="222" t="str">
        <f t="shared" ref="V20:W20" si="13">IF(V19="","",TEXT(WEEKDAY(V19), "ddd"))</f>
        <v>Wed</v>
      </c>
      <c r="W20" s="222" t="str">
        <f t="shared" si="13"/>
        <v>Thu</v>
      </c>
      <c r="X20" s="222"/>
      <c r="Y20" s="259"/>
      <c r="Z20" s="259"/>
      <c r="AA20" s="209"/>
      <c r="AB20" s="114"/>
    </row>
    <row r="21" spans="1:35" ht="12.75" customHeight="1">
      <c r="A21" s="131" t="s">
        <v>41</v>
      </c>
      <c r="B21" s="132" t="s">
        <v>48</v>
      </c>
      <c r="C21" s="133">
        <v>43437</v>
      </c>
      <c r="D21" s="134">
        <f t="shared" ref="D21:D27" si="14">E21</f>
        <v>88</v>
      </c>
      <c r="E21" s="134">
        <f t="shared" ref="E21:E27" si="15">Z21*8</f>
        <v>88</v>
      </c>
      <c r="F21" s="134">
        <f t="shared" ref="F21:F27" si="16">G21+H21</f>
        <v>88</v>
      </c>
      <c r="G21" s="134">
        <f t="shared" ref="G21:G27" si="17">SUM(I21:X21)</f>
        <v>88</v>
      </c>
      <c r="H21" s="135">
        <v>0</v>
      </c>
      <c r="I21" s="180">
        <v>8</v>
      </c>
      <c r="J21" s="183">
        <v>8</v>
      </c>
      <c r="K21" s="246"/>
      <c r="L21" s="246"/>
      <c r="M21" s="180">
        <v>8</v>
      </c>
      <c r="N21" s="180">
        <v>8</v>
      </c>
      <c r="O21" s="183">
        <v>8</v>
      </c>
      <c r="P21" s="180">
        <v>8</v>
      </c>
      <c r="Q21" s="183">
        <v>8</v>
      </c>
      <c r="R21" s="246"/>
      <c r="S21" s="246"/>
      <c r="T21" s="180">
        <v>8</v>
      </c>
      <c r="U21" s="180">
        <v>8</v>
      </c>
      <c r="V21" s="183">
        <v>8</v>
      </c>
      <c r="W21" s="183">
        <v>8</v>
      </c>
      <c r="X21" s="180"/>
      <c r="Y21" s="134"/>
      <c r="Z21" s="136">
        <v>11</v>
      </c>
      <c r="AA21" s="209"/>
      <c r="AB21" s="114"/>
    </row>
    <row r="22" spans="1:35" ht="12.75" customHeight="1">
      <c r="A22" s="131" t="s">
        <v>42</v>
      </c>
      <c r="B22" s="132" t="s">
        <v>48</v>
      </c>
      <c r="C22" s="133">
        <v>45028</v>
      </c>
      <c r="D22" s="134">
        <f t="shared" si="14"/>
        <v>88</v>
      </c>
      <c r="E22" s="134">
        <f t="shared" si="15"/>
        <v>88</v>
      </c>
      <c r="F22" s="134">
        <f t="shared" si="16"/>
        <v>80</v>
      </c>
      <c r="G22" s="134">
        <f t="shared" si="17"/>
        <v>80</v>
      </c>
      <c r="H22" s="135">
        <v>0</v>
      </c>
      <c r="I22" s="180">
        <v>8</v>
      </c>
      <c r="J22" s="180">
        <v>8</v>
      </c>
      <c r="K22" s="246"/>
      <c r="L22" s="245"/>
      <c r="M22" s="180">
        <v>8</v>
      </c>
      <c r="N22" s="180">
        <v>8</v>
      </c>
      <c r="O22" s="180">
        <v>8</v>
      </c>
      <c r="P22" s="186"/>
      <c r="Q22" s="180">
        <v>8</v>
      </c>
      <c r="R22" s="246"/>
      <c r="S22" s="245"/>
      <c r="T22" s="180">
        <v>8</v>
      </c>
      <c r="U22" s="180">
        <v>8</v>
      </c>
      <c r="V22" s="180">
        <v>8</v>
      </c>
      <c r="W22" s="180">
        <v>8</v>
      </c>
      <c r="X22" s="180"/>
      <c r="Y22" s="134">
        <v>1</v>
      </c>
      <c r="Z22" s="136">
        <v>11</v>
      </c>
      <c r="AA22" s="209"/>
      <c r="AB22" s="114"/>
    </row>
    <row r="23" spans="1:35" ht="12.75" customHeight="1">
      <c r="A23" s="131" t="s">
        <v>43</v>
      </c>
      <c r="B23" s="132" t="s">
        <v>48</v>
      </c>
      <c r="C23" s="133">
        <v>43395</v>
      </c>
      <c r="D23" s="134">
        <f t="shared" si="14"/>
        <v>88</v>
      </c>
      <c r="E23" s="134">
        <f t="shared" si="15"/>
        <v>88</v>
      </c>
      <c r="F23" s="134">
        <f t="shared" si="16"/>
        <v>88</v>
      </c>
      <c r="G23" s="134">
        <f t="shared" si="17"/>
        <v>88</v>
      </c>
      <c r="H23" s="135">
        <v>0</v>
      </c>
      <c r="I23" s="180">
        <v>8</v>
      </c>
      <c r="J23" s="180">
        <v>8</v>
      </c>
      <c r="K23" s="246"/>
      <c r="L23" s="246"/>
      <c r="M23" s="180">
        <v>8</v>
      </c>
      <c r="N23" s="180">
        <v>8</v>
      </c>
      <c r="O23" s="180">
        <v>8</v>
      </c>
      <c r="P23" s="180">
        <v>8</v>
      </c>
      <c r="Q23" s="180">
        <v>8</v>
      </c>
      <c r="R23" s="246"/>
      <c r="S23" s="246"/>
      <c r="T23" s="180">
        <v>8</v>
      </c>
      <c r="U23" s="180">
        <v>8</v>
      </c>
      <c r="V23" s="180">
        <v>8</v>
      </c>
      <c r="W23" s="180">
        <v>8</v>
      </c>
      <c r="X23" s="180"/>
      <c r="Y23" s="134"/>
      <c r="Z23" s="136">
        <v>11</v>
      </c>
      <c r="AA23" s="209"/>
      <c r="AB23" s="114"/>
    </row>
    <row r="24" spans="1:35" ht="12.75" customHeight="1">
      <c r="A24" s="131" t="s">
        <v>44</v>
      </c>
      <c r="B24" s="132" t="s">
        <v>48</v>
      </c>
      <c r="C24" s="138">
        <v>43741</v>
      </c>
      <c r="D24" s="134">
        <f t="shared" si="14"/>
        <v>88</v>
      </c>
      <c r="E24" s="134">
        <f t="shared" si="15"/>
        <v>88</v>
      </c>
      <c r="F24" s="134">
        <f t="shared" si="16"/>
        <v>80</v>
      </c>
      <c r="G24" s="134">
        <f t="shared" si="17"/>
        <v>80</v>
      </c>
      <c r="H24" s="135">
        <v>0</v>
      </c>
      <c r="I24" s="180">
        <v>8</v>
      </c>
      <c r="J24" s="180">
        <v>8</v>
      </c>
      <c r="K24" s="246"/>
      <c r="L24" s="245"/>
      <c r="M24" s="180">
        <v>8</v>
      </c>
      <c r="N24" s="180">
        <v>8</v>
      </c>
      <c r="O24" s="180">
        <v>8</v>
      </c>
      <c r="P24" s="183">
        <v>8</v>
      </c>
      <c r="Q24" s="180">
        <v>8</v>
      </c>
      <c r="R24" s="246"/>
      <c r="S24" s="245"/>
      <c r="T24" s="186"/>
      <c r="U24" s="180">
        <v>8</v>
      </c>
      <c r="V24" s="180">
        <v>8</v>
      </c>
      <c r="W24" s="183">
        <v>8</v>
      </c>
      <c r="X24" s="180"/>
      <c r="Y24" s="134">
        <v>1</v>
      </c>
      <c r="Z24" s="136">
        <v>11</v>
      </c>
      <c r="AA24" s="209"/>
      <c r="AB24" s="114"/>
    </row>
    <row r="25" spans="1:35" ht="12.75" customHeight="1">
      <c r="A25" s="139" t="s">
        <v>45</v>
      </c>
      <c r="B25" s="132" t="s">
        <v>48</v>
      </c>
      <c r="C25" s="138">
        <v>43731</v>
      </c>
      <c r="D25" s="134">
        <f t="shared" si="14"/>
        <v>88</v>
      </c>
      <c r="E25" s="134">
        <f t="shared" si="15"/>
        <v>88</v>
      </c>
      <c r="F25" s="134">
        <f t="shared" si="16"/>
        <v>16</v>
      </c>
      <c r="G25" s="134">
        <f t="shared" si="17"/>
        <v>16</v>
      </c>
      <c r="H25" s="135">
        <v>0</v>
      </c>
      <c r="I25" s="180">
        <v>8</v>
      </c>
      <c r="J25" s="180">
        <v>8</v>
      </c>
      <c r="K25" s="246"/>
      <c r="L25" s="246"/>
      <c r="M25" s="253"/>
      <c r="N25" s="253"/>
      <c r="O25" s="253"/>
      <c r="P25" s="254"/>
      <c r="Q25" s="253"/>
      <c r="R25" s="246"/>
      <c r="S25" s="245"/>
      <c r="T25" s="253"/>
      <c r="U25" s="253"/>
      <c r="V25" s="253"/>
      <c r="W25" s="253"/>
      <c r="X25" s="180"/>
      <c r="Y25" s="134"/>
      <c r="Z25" s="136">
        <v>11</v>
      </c>
      <c r="AA25" s="209"/>
      <c r="AB25" s="114"/>
    </row>
    <row r="26" spans="1:35" ht="12.75" customHeight="1">
      <c r="A26" s="139" t="s">
        <v>47</v>
      </c>
      <c r="B26" s="132" t="s">
        <v>48</v>
      </c>
      <c r="C26" s="138">
        <v>46120</v>
      </c>
      <c r="D26" s="134">
        <v>88</v>
      </c>
      <c r="E26" s="134">
        <v>88</v>
      </c>
      <c r="F26" s="134">
        <v>88</v>
      </c>
      <c r="G26" s="134">
        <v>88</v>
      </c>
      <c r="H26" s="135">
        <v>0</v>
      </c>
      <c r="I26" s="181">
        <v>8</v>
      </c>
      <c r="J26" s="181">
        <v>8</v>
      </c>
      <c r="K26" s="246"/>
      <c r="L26" s="246"/>
      <c r="M26" s="256">
        <v>8</v>
      </c>
      <c r="N26" s="208">
        <v>8</v>
      </c>
      <c r="O26" s="208">
        <v>8</v>
      </c>
      <c r="P26" s="257">
        <v>8</v>
      </c>
      <c r="Q26" s="208">
        <v>8</v>
      </c>
      <c r="R26" s="246"/>
      <c r="S26" s="245"/>
      <c r="T26" s="208">
        <v>8</v>
      </c>
      <c r="U26" s="208">
        <v>8</v>
      </c>
      <c r="V26" s="208">
        <v>8</v>
      </c>
      <c r="W26" s="208">
        <v>8</v>
      </c>
      <c r="X26" s="181"/>
      <c r="Y26" s="134"/>
      <c r="Z26" s="136">
        <v>11</v>
      </c>
      <c r="AA26" s="209"/>
      <c r="AB26" s="114"/>
    </row>
    <row r="27" spans="1:35" ht="12.75" customHeight="1">
      <c r="A27" s="139" t="s">
        <v>46</v>
      </c>
      <c r="B27" s="132" t="s">
        <v>48</v>
      </c>
      <c r="C27" s="138">
        <v>45628</v>
      </c>
      <c r="D27" s="134">
        <f t="shared" si="14"/>
        <v>88</v>
      </c>
      <c r="E27" s="134">
        <f t="shared" si="15"/>
        <v>88</v>
      </c>
      <c r="F27" s="134">
        <f t="shared" si="16"/>
        <v>80</v>
      </c>
      <c r="G27" s="134">
        <f t="shared" si="17"/>
        <v>80</v>
      </c>
      <c r="H27" s="135">
        <v>0</v>
      </c>
      <c r="I27" s="241">
        <v>8</v>
      </c>
      <c r="J27" s="241">
        <v>8</v>
      </c>
      <c r="K27" s="245"/>
      <c r="L27" s="245"/>
      <c r="M27" s="237"/>
      <c r="N27" s="241">
        <v>8</v>
      </c>
      <c r="O27" s="241">
        <v>8</v>
      </c>
      <c r="P27" s="241">
        <v>8</v>
      </c>
      <c r="Q27" s="241">
        <v>8</v>
      </c>
      <c r="R27" s="245"/>
      <c r="S27" s="245"/>
      <c r="T27" s="241">
        <v>8</v>
      </c>
      <c r="U27" s="241">
        <v>8</v>
      </c>
      <c r="V27" s="241">
        <v>8</v>
      </c>
      <c r="W27" s="241">
        <v>8</v>
      </c>
      <c r="X27" s="241"/>
      <c r="Y27" s="134">
        <v>1</v>
      </c>
      <c r="Z27" s="136">
        <v>11</v>
      </c>
      <c r="AA27" s="209"/>
      <c r="AB27" s="114"/>
    </row>
    <row r="28" spans="1:35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hidden="1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18">SUM(D21:D31)</f>
        <v>616</v>
      </c>
      <c r="E32" s="224">
        <f t="shared" si="18"/>
        <v>616</v>
      </c>
      <c r="F32" s="224">
        <f t="shared" si="18"/>
        <v>520</v>
      </c>
      <c r="G32" s="224">
        <f t="shared" si="18"/>
        <v>520</v>
      </c>
      <c r="H32" s="224">
        <f t="shared" si="18"/>
        <v>0</v>
      </c>
      <c r="I32" s="224">
        <f t="shared" si="18"/>
        <v>56</v>
      </c>
      <c r="J32" s="224">
        <f t="shared" si="18"/>
        <v>56</v>
      </c>
      <c r="K32" s="224">
        <f t="shared" si="18"/>
        <v>0</v>
      </c>
      <c r="L32" s="224">
        <f t="shared" si="18"/>
        <v>0</v>
      </c>
      <c r="M32" s="224">
        <f t="shared" si="18"/>
        <v>40</v>
      </c>
      <c r="N32" s="224">
        <f t="shared" si="18"/>
        <v>48</v>
      </c>
      <c r="O32" s="224">
        <f t="shared" si="18"/>
        <v>48</v>
      </c>
      <c r="P32" s="224">
        <f t="shared" si="18"/>
        <v>40</v>
      </c>
      <c r="Q32" s="224">
        <f t="shared" si="18"/>
        <v>48</v>
      </c>
      <c r="R32" s="224">
        <f t="shared" si="18"/>
        <v>0</v>
      </c>
      <c r="S32" s="224">
        <f t="shared" si="18"/>
        <v>0</v>
      </c>
      <c r="T32" s="224">
        <f t="shared" si="18"/>
        <v>40</v>
      </c>
      <c r="U32" s="224">
        <f t="shared" si="18"/>
        <v>48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247" t="s">
        <v>39</v>
      </c>
      <c r="G35" s="120"/>
      <c r="H35" s="120"/>
      <c r="I35" s="120"/>
      <c r="J35" s="120"/>
      <c r="K35" s="120"/>
      <c r="L35" s="118"/>
      <c r="M35" s="118"/>
      <c r="N35" s="118"/>
      <c r="O35" s="118"/>
      <c r="P35" s="118"/>
      <c r="Q35" s="118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41</v>
      </c>
      <c r="B36" s="153">
        <f>F5+F21</f>
        <v>168</v>
      </c>
      <c r="C36" s="154">
        <f>E5+E21</f>
        <v>168</v>
      </c>
      <c r="D36" s="248">
        <f t="shared" ref="D36:D42" si="19">B36</f>
        <v>168</v>
      </c>
      <c r="E36" s="251">
        <v>29</v>
      </c>
      <c r="F36" s="251">
        <v>23</v>
      </c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</row>
    <row r="37" spans="1:29" ht="13.5" customHeight="1">
      <c r="A37" s="131" t="s">
        <v>42</v>
      </c>
      <c r="B37" s="153">
        <f>F6+F22</f>
        <v>168</v>
      </c>
      <c r="C37" s="154">
        <f>E6+E22</f>
        <v>168</v>
      </c>
      <c r="D37" s="248">
        <f t="shared" si="19"/>
        <v>168</v>
      </c>
      <c r="E37" s="251">
        <v>32</v>
      </c>
      <c r="F37" s="251">
        <v>26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1" t="s">
        <v>43</v>
      </c>
      <c r="B38" s="153">
        <f>F7+F23</f>
        <v>168</v>
      </c>
      <c r="C38" s="154">
        <f>E7+E23</f>
        <v>168</v>
      </c>
      <c r="D38" s="248">
        <f t="shared" si="19"/>
        <v>168</v>
      </c>
      <c r="E38" s="251">
        <v>36</v>
      </c>
      <c r="F38" s="251">
        <v>29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31" t="s">
        <v>44</v>
      </c>
      <c r="B39" s="153">
        <f>F8+F24</f>
        <v>168</v>
      </c>
      <c r="C39" s="154">
        <f>E8+E24</f>
        <v>168</v>
      </c>
      <c r="D39" s="248">
        <f t="shared" si="19"/>
        <v>168</v>
      </c>
      <c r="E39" s="251">
        <v>23</v>
      </c>
      <c r="F39" s="251">
        <v>18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customHeight="1">
      <c r="A40" s="139" t="s">
        <v>45</v>
      </c>
      <c r="B40" s="216">
        <f>F9+F25</f>
        <v>104</v>
      </c>
      <c r="C40" s="217">
        <f>E9+E25</f>
        <v>168</v>
      </c>
      <c r="D40" s="249">
        <f t="shared" si="19"/>
        <v>104</v>
      </c>
      <c r="E40" s="251">
        <v>28</v>
      </c>
      <c r="F40" s="252">
        <v>22</v>
      </c>
      <c r="G40" s="114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customHeight="1">
      <c r="A41" s="139" t="s">
        <v>47</v>
      </c>
      <c r="B41" s="216">
        <v>152</v>
      </c>
      <c r="C41" s="217">
        <v>152</v>
      </c>
      <c r="D41" s="249">
        <v>152</v>
      </c>
      <c r="E41" s="251">
        <v>25</v>
      </c>
      <c r="F41" s="252">
        <v>20</v>
      </c>
      <c r="G41" s="114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customHeight="1" thickBot="1">
      <c r="A42" s="139" t="s">
        <v>46</v>
      </c>
      <c r="B42" s="158">
        <f>G11+G27</f>
        <v>168</v>
      </c>
      <c r="C42" s="159">
        <f>E11+E27</f>
        <v>168</v>
      </c>
      <c r="D42" s="250">
        <f t="shared" si="19"/>
        <v>168</v>
      </c>
      <c r="E42" s="251">
        <v>27</v>
      </c>
      <c r="F42" s="252">
        <v>23</v>
      </c>
      <c r="G42" s="114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211"/>
      <c r="B43" s="212">
        <f>G12+G28</f>
        <v>0</v>
      </c>
      <c r="C43" s="213">
        <f t="shared" ref="C43:D46" si="20">B43</f>
        <v>0</v>
      </c>
      <c r="D43" s="214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52"/>
      <c r="B44" s="153">
        <f>G13+G29</f>
        <v>0</v>
      </c>
      <c r="C44" s="154">
        <f t="shared" si="20"/>
        <v>0</v>
      </c>
      <c r="D44" s="155">
        <f t="shared" si="20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52"/>
      <c r="B45" s="153">
        <f>G14+G30</f>
        <v>0</v>
      </c>
      <c r="C45" s="154">
        <f t="shared" si="20"/>
        <v>0</v>
      </c>
      <c r="D45" s="155">
        <f t="shared" si="20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62"/>
      <c r="B46" s="158">
        <f>G15+G31</f>
        <v>0</v>
      </c>
      <c r="C46" s="159">
        <f t="shared" si="20"/>
        <v>0</v>
      </c>
      <c r="D46" s="160">
        <f t="shared" si="20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60" t="s">
        <v>0</v>
      </c>
      <c r="B49" s="261"/>
      <c r="C49" s="262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21">B51-B52</f>
        <v>10</v>
      </c>
      <c r="C53" s="173">
        <f t="shared" si="21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60" t="s">
        <v>22</v>
      </c>
      <c r="B56" s="261"/>
      <c r="C56" s="262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2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2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3">B58-B59</f>
        <v>12</v>
      </c>
      <c r="C60" s="173">
        <f t="shared" si="23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59"/>
      <c r="G3" s="259"/>
      <c r="H3" s="259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8" t="s">
        <v>6</v>
      </c>
      <c r="Y3" s="258" t="s">
        <v>7</v>
      </c>
      <c r="Z3" s="209"/>
      <c r="AA3" s="210"/>
      <c r="AB3" s="114"/>
    </row>
    <row r="4" spans="1:35" ht="27" customHeight="1">
      <c r="A4" s="259"/>
      <c r="B4" s="259"/>
      <c r="C4" s="259"/>
      <c r="D4" s="25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9"/>
      <c r="Y4" s="259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59"/>
      <c r="G18" s="259"/>
      <c r="H18" s="259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8" t="s">
        <v>6</v>
      </c>
      <c r="Z18" s="258" t="s">
        <v>7</v>
      </c>
      <c r="AA18" s="209"/>
      <c r="AB18" s="114"/>
    </row>
    <row r="19" spans="1:29" ht="26.25" customHeight="1">
      <c r="A19" s="259"/>
      <c r="B19" s="259"/>
      <c r="C19" s="259"/>
      <c r="D19" s="25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9"/>
      <c r="Z19" s="25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59"/>
      <c r="G3" s="259"/>
      <c r="H3" s="259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8" t="s">
        <v>6</v>
      </c>
      <c r="Y3" s="258" t="s">
        <v>7</v>
      </c>
      <c r="Z3" s="209"/>
      <c r="AA3" s="210"/>
      <c r="AB3" s="114"/>
    </row>
    <row r="4" spans="1:35" ht="27" customHeight="1">
      <c r="A4" s="259"/>
      <c r="B4" s="259"/>
      <c r="C4" s="259"/>
      <c r="D4" s="25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9"/>
      <c r="Y4" s="259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59"/>
      <c r="G18" s="259"/>
      <c r="H18" s="259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8" t="s">
        <v>6</v>
      </c>
      <c r="Z18" s="258" t="s">
        <v>7</v>
      </c>
      <c r="AA18" s="209"/>
      <c r="AB18" s="114"/>
    </row>
    <row r="19" spans="1:29" ht="26.25" customHeight="1">
      <c r="A19" s="259"/>
      <c r="B19" s="259"/>
      <c r="C19" s="259"/>
      <c r="D19" s="25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9"/>
      <c r="Z19" s="25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59"/>
      <c r="G3" s="259"/>
      <c r="H3" s="259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8" t="s">
        <v>6</v>
      </c>
      <c r="Y3" s="258" t="s">
        <v>7</v>
      </c>
      <c r="Z3" s="209"/>
      <c r="AA3" s="114"/>
      <c r="AB3" s="114"/>
    </row>
    <row r="4" spans="1:35" ht="27" customHeight="1">
      <c r="A4" s="259"/>
      <c r="B4" s="259"/>
      <c r="C4" s="259"/>
      <c r="D4" s="25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9"/>
      <c r="Y4" s="259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59"/>
      <c r="G18" s="259"/>
      <c r="H18" s="259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8" t="s">
        <v>6</v>
      </c>
      <c r="Z18" s="258" t="s">
        <v>7</v>
      </c>
      <c r="AA18" s="209"/>
      <c r="AB18" s="114"/>
    </row>
    <row r="19" spans="1:29" ht="26.25" customHeight="1">
      <c r="A19" s="259"/>
      <c r="B19" s="259"/>
      <c r="C19" s="259"/>
      <c r="D19" s="25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9"/>
      <c r="Z19" s="25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59"/>
      <c r="G3" s="259"/>
      <c r="H3" s="259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8" t="s">
        <v>6</v>
      </c>
      <c r="Y3" s="258" t="s">
        <v>7</v>
      </c>
      <c r="Z3" s="209"/>
      <c r="AA3" s="114"/>
      <c r="AB3" s="114"/>
    </row>
    <row r="4" spans="1:35" ht="27" customHeight="1">
      <c r="A4" s="259"/>
      <c r="B4" s="259"/>
      <c r="C4" s="259"/>
      <c r="D4" s="259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9"/>
      <c r="Y4" s="259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59"/>
      <c r="G18" s="259"/>
      <c r="H18" s="259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8" t="s">
        <v>6</v>
      </c>
      <c r="Z18" s="258" t="s">
        <v>7</v>
      </c>
      <c r="AA18" s="209"/>
      <c r="AB18" s="114"/>
    </row>
    <row r="19" spans="1:29" ht="26.25" customHeight="1">
      <c r="A19" s="259"/>
      <c r="B19" s="259"/>
      <c r="C19" s="259"/>
      <c r="D19" s="259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9"/>
      <c r="Z19" s="259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7"/>
      <c r="G3" s="267"/>
      <c r="H3" s="268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64" t="s">
        <v>6</v>
      </c>
      <c r="Y3" s="264" t="s">
        <v>7</v>
      </c>
      <c r="Z3" s="120"/>
      <c r="AA3" s="114"/>
      <c r="AB3" s="114"/>
    </row>
    <row r="4" spans="1:35" ht="27" customHeight="1">
      <c r="A4" s="265"/>
      <c r="B4" s="265"/>
      <c r="C4" s="265"/>
      <c r="D4" s="26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5"/>
      <c r="Y4" s="26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7"/>
      <c r="G18" s="267"/>
      <c r="H18" s="268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64" t="s">
        <v>6</v>
      </c>
      <c r="Z18" s="264" t="s">
        <v>7</v>
      </c>
      <c r="AA18" s="120"/>
      <c r="AB18" s="114"/>
    </row>
    <row r="19" spans="1:29" ht="26.25" customHeight="1">
      <c r="A19" s="265"/>
      <c r="B19" s="265"/>
      <c r="C19" s="265"/>
      <c r="D19" s="26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5"/>
      <c r="Z19" s="26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7"/>
      <c r="G3" s="267"/>
      <c r="H3" s="268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64" t="s">
        <v>6</v>
      </c>
      <c r="Y3" s="264" t="s">
        <v>7</v>
      </c>
      <c r="Z3" s="120"/>
      <c r="AA3" s="114"/>
      <c r="AB3" s="114"/>
    </row>
    <row r="4" spans="1:35" ht="27" customHeight="1">
      <c r="A4" s="265"/>
      <c r="B4" s="265"/>
      <c r="C4" s="265"/>
      <c r="D4" s="26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5"/>
      <c r="Y4" s="26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7"/>
      <c r="G18" s="267"/>
      <c r="H18" s="268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64" t="s">
        <v>6</v>
      </c>
      <c r="Z18" s="264" t="s">
        <v>7</v>
      </c>
      <c r="AA18" s="120"/>
      <c r="AB18" s="114"/>
    </row>
    <row r="19" spans="1:29" ht="26.25" customHeight="1">
      <c r="A19" s="265"/>
      <c r="B19" s="265"/>
      <c r="C19" s="265"/>
      <c r="D19" s="26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5"/>
      <c r="Z19" s="26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Suresh Narayana Swamy</cp:lastModifiedBy>
  <cp:revision/>
  <dcterms:created xsi:type="dcterms:W3CDTF">2025-03-26T11:28:04Z</dcterms:created>
  <dcterms:modified xsi:type="dcterms:W3CDTF">2026-04-24T06:18:37Z</dcterms:modified>
  <cp:category/>
  <cp:contentStatus/>
</cp:coreProperties>
</file>