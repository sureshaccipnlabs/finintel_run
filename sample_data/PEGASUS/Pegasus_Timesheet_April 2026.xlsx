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mar\Downloads\"/>
    </mc:Choice>
  </mc:AlternateContent>
  <xr:revisionPtr revIDLastSave="0" documentId="13_ncr:1_{5387D9F0-98EC-4D43-AF7B-2E914FEE571D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March '26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G6" i="5"/>
  <c r="G7" i="5"/>
  <c r="AQ7" i="5" s="1"/>
  <c r="I7" i="5" l="1"/>
  <c r="K7" i="5" s="1"/>
  <c r="H7" i="5"/>
  <c r="AJ4" i="5"/>
  <c r="AK4" i="5"/>
  <c r="AL4" i="5"/>
  <c r="AM4" i="5"/>
  <c r="AN4" i="5"/>
  <c r="AO4" i="5"/>
  <c r="AE4" i="5"/>
  <c r="AF4" i="5"/>
  <c r="AG4" i="5"/>
  <c r="AH4" i="5"/>
  <c r="AI4" i="5"/>
  <c r="AA4" i="5"/>
  <c r="AB4" i="5"/>
  <c r="AC4" i="5"/>
  <c r="AD4" i="5"/>
  <c r="Y4" i="5"/>
  <c r="Z4" i="5"/>
  <c r="W4" i="5"/>
  <c r="X4" i="5"/>
  <c r="M4" i="5"/>
  <c r="N4" i="5"/>
  <c r="O4" i="5"/>
  <c r="P4" i="5"/>
  <c r="Q4" i="5"/>
  <c r="R4" i="5"/>
  <c r="S4" i="5"/>
  <c r="T4" i="5"/>
  <c r="U4" i="5"/>
  <c r="V4" i="5"/>
  <c r="L4" i="5"/>
  <c r="AR7" i="5" l="1"/>
  <c r="AQ6" i="5" l="1"/>
  <c r="I6" i="5" l="1"/>
  <c r="K6" i="5" s="1"/>
  <c r="H6" i="5"/>
  <c r="AR6" i="5" s="1"/>
  <c r="AP4" i="5" l="1"/>
  <c r="B6" i="5" l="1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W8" i="5"/>
  <c r="M8" i="5"/>
  <c r="N8" i="5"/>
  <c r="O8" i="5"/>
  <c r="P8" i="5"/>
  <c r="Q8" i="5"/>
  <c r="R8" i="5"/>
  <c r="S8" i="5"/>
  <c r="T8" i="5"/>
  <c r="U8" i="5"/>
  <c r="V8" i="5"/>
  <c r="L8" i="5"/>
  <c r="H8" i="5" l="1"/>
  <c r="B9" i="5"/>
  <c r="I8" i="5"/>
  <c r="B17" i="5"/>
  <c r="B13" i="5"/>
  <c r="AR8" i="5" l="1"/>
  <c r="K8" i="5"/>
</calcChain>
</file>

<file path=xl/sharedStrings.xml><?xml version="1.0" encoding="utf-8"?>
<sst xmlns="http://schemas.openxmlformats.org/spreadsheetml/2006/main" count="137" uniqueCount="98">
  <si>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</si>
  <si>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</si>
  <si>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</si>
  <si>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</si>
  <si>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</si>
  <si>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</si>
  <si>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</si>
  <si>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</si>
  <si>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</si>
  <si>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</si>
  <si>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</si>
  <si>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</si>
  <si>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</si>
  <si>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</si>
  <si>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</si>
  <si>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</si>
  <si>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</si>
  <si>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</si>
  <si>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</si>
  <si>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</si>
  <si>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</si>
  <si>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</si>
  <si>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</si>
  <si>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</si>
  <si>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</si>
  <si>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</si>
  <si>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</si>
  <si>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</si>
  <si>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</si>
  <si>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</si>
  <si>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</si>
  <si>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</si>
  <si>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</si>
  <si>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</si>
  <si>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</si>
  <si>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</si>
  <si>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</si>
  <si>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</si>
  <si>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</si>
  <si>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</si>
  <si>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</si>
  <si>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</si>
  <si>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</si>
  <si>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</si>
  <si>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</si>
  <si>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</si>
  <si>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</si>
  <si>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</si>
  <si>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</si>
  <si>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</si>
  <si>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</si>
  <si>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</si>
  <si>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</si>
  <si>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</si>
  <si>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</si>
  <si>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</si>
  <si>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</si>
  <si>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</si>
  <si>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</si>
  <si>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</si>
  <si>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</si>
  <si>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</si>
  <si>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</si>
  <si>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</si>
  <si>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</si>
  <si>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</si>
  <si>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</si>
  <si>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</si>
  <si>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</si>
  <si>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</si>
  <si>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</si>
  <si>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</si>
  <si>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</si>
  <si>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</si>
  <si>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Rohit Nayal</t>
  </si>
  <si>
    <t>Apoorva Rastogi</t>
  </si>
  <si>
    <t>Venu Thanneeru</t>
  </si>
  <si>
    <t>RH0095</t>
  </si>
  <si>
    <t>ML-NLP</t>
  </si>
  <si>
    <t>Senior BA</t>
  </si>
  <si>
    <t>Fullstack</t>
  </si>
  <si>
    <t>1100-5100</t>
  </si>
  <si>
    <t>MadhuSudhan Reddy Thota</t>
  </si>
  <si>
    <t>Backend Developer</t>
  </si>
  <si>
    <t>Chetan N</t>
  </si>
  <si>
    <t>Frontend Developer</t>
  </si>
  <si>
    <t>1100-5229</t>
  </si>
  <si>
    <t>Bhavani Sivarambotla</t>
  </si>
  <si>
    <t>Madhusudhakar Malle</t>
  </si>
  <si>
    <t>1100-11640</t>
  </si>
  <si>
    <t>Raj Yadav</t>
  </si>
  <si>
    <t>Maruti H</t>
  </si>
  <si>
    <t>1101-3242</t>
  </si>
  <si>
    <t>Afroz Ahmed Sheikh</t>
  </si>
  <si>
    <t>Fullstack Developer</t>
  </si>
  <si>
    <t>1100-11782</t>
  </si>
  <si>
    <t>Chandeashekhar Jani</t>
  </si>
  <si>
    <t>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</si>
</sst>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0" fontId="19" fillId="0" borderId="0" xfId="0" applyFont="1"/>
    <xf numFmtId="0" fontId="7" fillId="8" borderId="0" xfId="0" applyFont="1" applyFill="1"/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9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top"/>
    </xf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164" fontId="12" fillId="2" borderId="0" xfId="0" applyNumberFormat="1" applyFont="1" applyFill="1" applyAlignment="1">
      <alignment horizontal="right"/>
    </xf>
    <xf numFmtId="0" fontId="6" fillId="5" borderId="0" xfId="0" applyFont="1" applyFill="1"/>
  </cellXfs>
  <cellStyles count="2">
    <cellStyle name="Normal" xfId="0" builtinId="0"/>
    <cellStyle name="Percent" xfId="1" builtinId="5"/>
  </cellStyles>
  <dxfs count="124"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0066"/>
      <color rgb="FFFF5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8" totalsRowCount="1" headerRowDxfId="123" dataDxfId="122">
  <tableColumns count="40">
    <tableColumn id="40" xr3:uid="{0A54AE2F-C256-4AA4-81C3-E00ACCC76EC8}" name="Emp ID" dataDxfId="121" totalsRowDxfId="120"/>
    <tableColumn id="39" xr3:uid="{9669CAB7-33E5-40E8-9ECD-BFA5F383C0BD}" name="Role as per SoW" dataDxfId="119" totalsRowDxfId="118">
      <calculatedColumnFormula>VLOOKUP(Table27[[#This Row],[Emp ID]],Table1[],3,FALSE)</calculatedColumnFormula>
    </tableColumn>
    <tableColumn id="1" xr3:uid="{4449859A-55A6-45AA-8A96-FCC6309D5F60}" name="Name" totalsRowLabel="Total" dataDxfId="117" totalsRowDxfId="116">
      <calculatedColumnFormula>VLOOKUP(Table27[[#This Row],[Emp ID]],Table1[],2,FALSE)</calculatedColumnFormula>
    </tableColumn>
    <tableColumn id="2" xr3:uid="{25895A40-683C-400E-B977-6736C26F70FF}" name="Max Billable Hours" totalsRowFunction="sum" dataDxfId="115" totalsRowDxfId="114">
      <calculatedColumnFormula>IF(Table27[[#This Row],[Status]]="Active",SUM(COUNT(Table27[[#This Row],[1]:[31]]), COUNTIF(Table27[[#This Row],[1]:[31]],"OFF"))*VLOOKUP(Table27[[#This Row],[Name]],Table1[[#All],[Name]:[Billable Hours per day]],6,FALSE),"")</calculatedColumnFormula>
    </tableColumn>
    <tableColumn id="3" xr3:uid="{42257E96-50F7-4B29-B3B1-132233AB2AA6}" name="Actual Hours" totalsRowFunction="sum" dataDxfId="113" totalsRowDxfId="112">
      <calculatedColumnFormula>IF(Table27[[#This Row],[Status]]="Active",SUM(Table27[[#This Row],[1]:[31]]),"")</calculatedColumnFormula>
    </tableColumn>
    <tableColumn id="4" xr3:uid="{C4F1F072-CB0B-4451-B5C6-05FB81DFFC03}" name="Rate" dataDxfId="111" totalsRowDxfId="110"/>
    <tableColumn id="5" xr3:uid="{6E3636B9-97B1-4231-848A-84020E8CD1A3}" name="Final Billing Amount" totalsRowFunction="sum" dataDxfId="109" totalsRowDxfId="108">
      <calculatedColumnFormula>IFERROR(Table27[[#This Row],[Actual Hours]]*Table27[[#This Row],[Rate]],"")</calculatedColumnFormula>
    </tableColumn>
    <tableColumn id="6" xr3:uid="{D4793879-E2F3-472D-8E9B-2105426B8F6B}" name="1" totalsRowFunction="sum" dataDxfId="107" totalsRowDxfId="106"/>
    <tableColumn id="7" xr3:uid="{E486E4A8-41C0-4AFF-BB9A-B45102FE633C}" name="2" totalsRowFunction="sum" dataDxfId="105" totalsRowDxfId="104"/>
    <tableColumn id="8" xr3:uid="{4A4F0742-3816-4B9E-9F0A-7F96C051FEC1}" name="3" totalsRowFunction="sum" dataDxfId="103" totalsRowDxfId="102"/>
    <tableColumn id="9" xr3:uid="{24E6AAA5-D211-40AD-808B-294BCA6071A0}" name="4" totalsRowFunction="sum" dataDxfId="101" totalsRowDxfId="100"/>
    <tableColumn id="10" xr3:uid="{70086128-55FD-4B5D-AE29-F9B280C62589}" name="5" totalsRowFunction="sum" dataDxfId="99" totalsRowDxfId="98"/>
    <tableColumn id="11" xr3:uid="{F86580CD-5B8C-4123-A821-D46F4A6EC4F6}" name="6" totalsRowFunction="sum" dataDxfId="97" totalsRowDxfId="96"/>
    <tableColumn id="12" xr3:uid="{6F961A6F-63D3-4D42-AE89-E86613A2C14F}" name="7" totalsRowFunction="sum" dataDxfId="95" totalsRowDxfId="94"/>
    <tableColumn id="13" xr3:uid="{554D2725-AA19-4B75-A7B9-2A8387E18BDC}" name="8" totalsRowFunction="sum" dataDxfId="93" totalsRowDxfId="92"/>
    <tableColumn id="14" xr3:uid="{63D8B858-12A3-4A0B-A826-BE3186D9F21F}" name="9" totalsRowFunction="sum" dataDxfId="91" totalsRowDxfId="90"/>
    <tableColumn id="15" xr3:uid="{B19FFC3C-59E3-475E-8113-0CE80BFE9635}" name="10" totalsRowFunction="sum" dataDxfId="89" totalsRowDxfId="88"/>
    <tableColumn id="16" xr3:uid="{D5D68AE4-2278-40D7-BFED-A0B492731248}" name="11" totalsRowFunction="sum" dataDxfId="87" totalsRowDxfId="86"/>
    <tableColumn id="17" xr3:uid="{30651372-2451-4B32-ACB6-665FBA20F98B}" name="12" totalsRowFunction="sum" dataDxfId="85" totalsRowDxfId="84"/>
    <tableColumn id="18" xr3:uid="{D0FAAF2E-7D84-4E6B-90D7-80E1E12AFF8B}" name="13" totalsRowFunction="sum" dataDxfId="83" totalsRowDxfId="82"/>
    <tableColumn id="19" xr3:uid="{DA2E8EE3-9D9F-4FCB-B634-0F5CDF5A99C6}" name="14" totalsRowFunction="sum" dataDxfId="81" totalsRowDxfId="80"/>
    <tableColumn id="20" xr3:uid="{27F58B70-B194-47CB-B393-AB8FB149C0CD}" name="15" totalsRowFunction="sum" dataDxfId="79" totalsRowDxfId="78"/>
    <tableColumn id="21" xr3:uid="{A626272B-9B6C-49DD-B884-912D4983CB24}" name="16" totalsRowFunction="sum" dataDxfId="77" totalsRowDxfId="76"/>
    <tableColumn id="22" xr3:uid="{2D327AA4-6E26-4B2B-A188-C61BB78F1A4F}" name="17" totalsRowFunction="sum" dataDxfId="75" totalsRowDxfId="74"/>
    <tableColumn id="23" xr3:uid="{81418BDA-3722-4FD6-A1AC-D19EC0365795}" name="18" totalsRowFunction="sum" dataDxfId="73" totalsRowDxfId="72"/>
    <tableColumn id="24" xr3:uid="{748261B7-3B42-48B0-B56D-6066930E4F45}" name="19" totalsRowFunction="sum" dataDxfId="71" totalsRowDxfId="70"/>
    <tableColumn id="25" xr3:uid="{27D1FC17-EEA9-4BBA-9BF0-F488BB07BC27}" name="20" totalsRowFunction="sum" dataDxfId="69" totalsRowDxfId="68"/>
    <tableColumn id="26" xr3:uid="{CE5F7E04-EA29-476A-8C04-10311E5AA245}" name="21" totalsRowFunction="sum" dataDxfId="67" totalsRowDxfId="66"/>
    <tableColumn id="27" xr3:uid="{6A1ED293-6B3A-4F5F-878E-BC6852209689}" name="22" totalsRowFunction="sum" dataDxfId="65" totalsRowDxfId="64"/>
    <tableColumn id="28" xr3:uid="{DED4194D-2CE9-4CED-A0E1-5517221173CE}" name="23" totalsRowFunction="sum" dataDxfId="63" totalsRowDxfId="62"/>
    <tableColumn id="29" xr3:uid="{8F702A72-079F-4DDC-8889-42FF1892A8D9}" name="24" totalsRowFunction="sum" dataDxfId="61" totalsRowDxfId="60"/>
    <tableColumn id="30" xr3:uid="{952EC144-0583-4A0E-9606-7D1C67415A11}" name="25" totalsRowFunction="sum" dataDxfId="59" totalsRowDxfId="58"/>
    <tableColumn id="31" xr3:uid="{02E5AB35-203D-45F7-968D-89FFFD7605BD}" name="26" totalsRowFunction="sum" dataDxfId="57" totalsRowDxfId="56"/>
    <tableColumn id="32" xr3:uid="{74C12FEA-BDE5-479D-93E6-E783309D1823}" name="27" totalsRowFunction="sum" dataDxfId="55" totalsRowDxfId="54"/>
    <tableColumn id="33" xr3:uid="{9340BC5C-0231-47F4-BAAB-F3EC43CAB876}" name="28" totalsRowFunction="sum" dataDxfId="53" totalsRowDxfId="52"/>
    <tableColumn id="34" xr3:uid="{3EAF38D2-F687-4B74-91B5-FCEBE8F0AF14}" name="29" totalsRowFunction="sum" dataDxfId="51" totalsRowDxfId="50"/>
    <tableColumn id="35" xr3:uid="{EA5A44B8-FFE4-4939-963A-C719186ADF9D}" name="30" totalsRowFunction="sum" dataDxfId="49" totalsRowDxfId="48"/>
    <tableColumn id="36" xr3:uid="{F4FC74EA-7D3E-4BCD-81C3-3AD31C403124}" name="31" dataDxfId="47" totalsRowDxfId="46"/>
    <tableColumn id="38" xr3:uid="{04D5C202-3AEB-4435-9159-2F359239778C}" name="Status" dataDxfId="45" totalsRowDxfId="44">
      <calculatedColumnFormula>_xlfn.IFNA(VLOOKUP(Table27[[#This Row],[Name]],Table1[[#All],[Name]:[Status]],4,FALSE),"")</calculatedColumnFormula>
    </tableColumn>
    <tableColumn id="37" xr3:uid="{CF7A8946-2CDE-4C23-8580-6C1FEFBCBE31}" name="Billing %" totalsRowFunction="custom" dataDxfId="43" totalsRowDxfId="42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17" totalsRowShown="0">
  <autoFilter ref="B1:H17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1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7" totalsRowShown="0">
  <autoFilter ref="E1:E7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22"/>
  <sheetViews>
    <sheetView showGridLines="0" tabSelected="1" zoomScale="125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F3" sqref="F3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81640625" customWidth="1"/>
    <col min="6" max="6" width="12.81640625" customWidth="1"/>
    <col min="7" max="7" width="17" customWidth="1"/>
    <col min="8" max="8" width="6" customWidth="1"/>
    <col min="9" max="10" width="5.6328125" customWidth="1"/>
    <col min="11" max="11" width="8.453125" bestFit="1" customWidth="1"/>
    <col min="12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hidden="1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11</v>
      </c>
      <c r="C2" s="5">
        <v>2026</v>
      </c>
      <c r="E2" s="5" t="s">
        <v>97</v>
      </c>
      <c r="G2" s="1"/>
    </row>
    <row r="4" spans="2:44" x14ac:dyDescent="0.35">
      <c r="J4" s="8"/>
      <c r="K4" s="8"/>
      <c r="L4" s="8" t="str">
        <f>UPPER(TEXT(DATE($C$2,VLOOKUP($B$2,Data!$B$2:$C$13,2,FALSE),Table27[[#Headers],[1]]),"DDD"))</f>
        <v>WED</v>
      </c>
      <c r="M4" s="8" t="str">
        <f>UPPER(TEXT(DATE($C$2,VLOOKUP($B$2,Data!$B$2:$C$13,2,FALSE),Table27[[#Headers],[2]]),"DDD"))</f>
        <v>THU</v>
      </c>
      <c r="N4" s="8" t="str">
        <f>UPPER(TEXT(DATE($C$2,VLOOKUP($B$2,Data!$B$2:$C$13,2,FALSE),Table27[[#Headers],[3]]),"DDD"))</f>
        <v>FRI</v>
      </c>
      <c r="O4" s="8" t="str">
        <f>UPPER(TEXT(DATE($C$2,VLOOKUP($B$2,Data!$B$2:$C$13,2,FALSE),Table27[[#Headers],[4]]),"DDD"))</f>
        <v>SAT</v>
      </c>
      <c r="P4" s="8" t="str">
        <f>UPPER(TEXT(DATE($C$2,VLOOKUP($B$2,Data!$B$2:$C$13,2,FALSE),Table27[[#Headers],[5]]),"DDD"))</f>
        <v>SUN</v>
      </c>
      <c r="Q4" s="8" t="str">
        <f>UPPER(TEXT(DATE($C$2,VLOOKUP($B$2,Data!$B$2:$C$13,2,FALSE),Table27[[#Headers],[6]]),"DDD"))</f>
        <v>MON</v>
      </c>
      <c r="R4" s="8" t="str">
        <f>UPPER(TEXT(DATE($C$2,VLOOKUP($B$2,Data!$B$2:$C$13,2,FALSE),Table27[[#Headers],[7]]),"DDD"))</f>
        <v>TUE</v>
      </c>
      <c r="S4" s="8" t="str">
        <f>UPPER(TEXT(DATE($C$2,VLOOKUP($B$2,Data!$B$2:$C$13,2,FALSE),Table27[[#Headers],[8]]),"DDD"))</f>
        <v>WED</v>
      </c>
      <c r="T4" s="8" t="str">
        <f>UPPER(TEXT(DATE($C$2,VLOOKUP($B$2,Data!$B$2:$C$13,2,FALSE),Table27[[#Headers],[9]]),"DDD"))</f>
        <v>THU</v>
      </c>
      <c r="U4" s="8" t="str">
        <f>UPPER(TEXT(DATE($C$2,VLOOKUP($B$2,Data!$B$2:$C$13,2,FALSE),Table27[[#Headers],[10]]),"DDD"))</f>
        <v>FRI</v>
      </c>
      <c r="V4" s="8" t="str">
        <f>UPPER(TEXT(DATE($C$2,VLOOKUP($B$2,Data!$B$2:$C$13,2,FALSE),Table27[[#Headers],[11]]),"DDD"))</f>
        <v>SAT</v>
      </c>
      <c r="W4" s="8" t="str">
        <f>UPPER(TEXT(DATE($C$2,VLOOKUP($B$2,Data!$B$2:$C$13,2,FALSE),Table27[[#Headers],[12]]),"DDD"))</f>
        <v>SUN</v>
      </c>
      <c r="X4" s="8" t="str">
        <f>UPPER(TEXT(DATE($C$2,VLOOKUP($B$2,Data!$B$2:$C$13,2,FALSE),Table27[[#Headers],[13]]),"DDD"))</f>
        <v>MON</v>
      </c>
      <c r="Y4" s="8" t="str">
        <f>UPPER(TEXT(DATE($C$2,VLOOKUP($B$2,Data!$B$2:$C$13,2,FALSE),Table27[[#Headers],[14]]),"DDD"))</f>
        <v>TUE</v>
      </c>
      <c r="Z4" s="8" t="str">
        <f>UPPER(TEXT(DATE($C$2,VLOOKUP($B$2,Data!$B$2:$C$13,2,FALSE),Table27[[#Headers],[15]]),"DDD"))</f>
        <v>WED</v>
      </c>
      <c r="AA4" s="8" t="str">
        <f>UPPER(TEXT(DATE($C$2,VLOOKUP($B$2,Data!$B$2:$C$13,2,FALSE),Table27[[#Headers],[16]]),"DDD"))</f>
        <v>THU</v>
      </c>
      <c r="AB4" s="8" t="str">
        <f>UPPER(TEXT(DATE($C$2,VLOOKUP($B$2,Data!$B$2:$C$13,2,FALSE),Table27[[#Headers],[17]]),"DDD"))</f>
        <v>FRI</v>
      </c>
      <c r="AC4" s="8" t="str">
        <f>UPPER(TEXT(DATE($C$2,VLOOKUP($B$2,Data!$B$2:$C$13,2,FALSE),Table27[[#Headers],[18]]),"DDD"))</f>
        <v>SAT</v>
      </c>
      <c r="AD4" s="8" t="str">
        <f>UPPER(TEXT(DATE($C$2,VLOOKUP($B$2,Data!$B$2:$C$13,2,FALSE),Table27[[#Headers],[19]]),"DDD"))</f>
        <v>SUN</v>
      </c>
      <c r="AE4" s="8" t="str">
        <f>UPPER(TEXT(DATE($C$2,VLOOKUP($B$2,Data!$B$2:$C$13,2,FALSE),Table27[[#Headers],[20]]),"DDD"))</f>
        <v>MON</v>
      </c>
      <c r="AF4" s="8" t="str">
        <f>UPPER(TEXT(DATE($C$2,VLOOKUP($B$2,Data!$B$2:$C$13,2,FALSE),Table27[[#Headers],[21]]),"DDD"))</f>
        <v>TUE</v>
      </c>
      <c r="AG4" s="8" t="str">
        <f>UPPER(TEXT(DATE($C$2,VLOOKUP($B$2,Data!$B$2:$C$13,2,FALSE),Table27[[#Headers],[22]]),"DDD"))</f>
        <v>WED</v>
      </c>
      <c r="AH4" s="8" t="str">
        <f>UPPER(TEXT(DATE($C$2,VLOOKUP($B$2,Data!$B$2:$C$13,2,FALSE),Table27[[#Headers],[23]]),"DDD"))</f>
        <v>THU</v>
      </c>
      <c r="AI4" s="8" t="str">
        <f>UPPER(TEXT(DATE($C$2,VLOOKUP($B$2,Data!$B$2:$C$13,2,FALSE),Table27[[#Headers],[24]]),"DDD"))</f>
        <v>FRI</v>
      </c>
      <c r="AJ4" s="8" t="str">
        <f>UPPER(TEXT(DATE($C$2,VLOOKUP($B$2,Data!$B$2:$C$13,2,FALSE),Table27[[#Headers],[25]]),"DDD"))</f>
        <v>SAT</v>
      </c>
      <c r="AK4" s="8" t="str">
        <f>UPPER(TEXT(DATE($C$2,VLOOKUP($B$2,Data!$B$2:$C$13,2,FALSE),Table27[[#Headers],[26]]),"DDD"))</f>
        <v>SUN</v>
      </c>
      <c r="AL4" s="8" t="str">
        <f>UPPER(TEXT(DATE($C$2,VLOOKUP($B$2,Data!$B$2:$C$13,2,FALSE),Table27[[#Headers],[27]]),"DDD"))</f>
        <v>MON</v>
      </c>
      <c r="AM4" s="8" t="str">
        <f>UPPER(TEXT(DATE($C$2,VLOOKUP($B$2,Data!$B$2:$C$13,2,FALSE),Table27[[#Headers],[28]]),"DDD"))</f>
        <v>TUE</v>
      </c>
      <c r="AN4" s="8" t="str">
        <f>UPPER(TEXT(DATE($C$2,VLOOKUP($B$2,Data!$B$2:$C$13,2,FALSE),Table27[[#Headers],[29]]),"DDD"))</f>
        <v>WED</v>
      </c>
      <c r="AO4" s="8" t="str">
        <f>UPPER(TEXT(DATE($C$2,VLOOKUP($B$2,Data!$B$2:$C$13,2,FALSE),Table27[[#Headers],[30]]),"DDD"))</f>
        <v>THU</v>
      </c>
      <c r="AP4" s="8" t="str">
        <f>UPPER(TEXT(DATE($C$2,_xlfn.XLOOKUP($B$2,Data!$B$2:$B$13,Data!$C$2:$C$13),Table27[[#Headers],[24]]),"DDD"))</f>
        <v>FRI</v>
      </c>
    </row>
    <row r="5" spans="2:44" ht="28.25" customHeight="1" x14ac:dyDescent="0.35">
      <c r="B5" s="37" t="s">
        <v>57</v>
      </c>
      <c r="C5" s="37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28.5" x14ac:dyDescent="0.65">
      <c r="B6" s="40">
        <f>SUM(Table27[Final Billing Amount])</f>
        <v>12320</v>
      </c>
      <c r="C6" s="40"/>
      <c r="E6" s="23" t="s">
        <v>77</v>
      </c>
      <c r="F6" s="11" t="str">
        <f>VLOOKUP(Table27[[#This Row],[Emp ID]],Table1[],3,FALSE)</f>
        <v>ML-NLP</v>
      </c>
      <c r="G6" s="2" t="str">
        <f>VLOOKUP(Table27[[#This Row],[Emp ID]],Table1[],2,FALSE)</f>
        <v>Rohit Nayal</v>
      </c>
      <c r="H6" s="2">
        <f>IF(Table27[[#This Row],[Status]]="Active",SUM(COUNT(Table27[[#This Row],[1]:[31]]), COUNTIF(Table27[[#This Row],[1]:[31]],"OFF"))*VLOOKUP(Table27[[#This Row],[Name]],Table1[[#All],[Name]:[Billable Hours per day]],6,FALSE),"")</f>
        <v>176</v>
      </c>
      <c r="I6" s="2">
        <f>IF(Table27[[#This Row],[Status]]="Active",SUM(Table27[[#This Row],[1]:[31]]),"")</f>
        <v>176</v>
      </c>
      <c r="J6" s="3">
        <v>35</v>
      </c>
      <c r="K6" s="14">
        <f>IFERROR(Table27[[#This Row],[Actual Hours]]*Table27[[#This Row],[Rate]],"")</f>
        <v>6160</v>
      </c>
      <c r="L6" s="27">
        <v>8</v>
      </c>
      <c r="M6" s="27">
        <v>8</v>
      </c>
      <c r="N6" s="27">
        <v>8</v>
      </c>
      <c r="O6" s="27" t="s">
        <v>59</v>
      </c>
      <c r="P6" s="27" t="s">
        <v>59</v>
      </c>
      <c r="Q6" s="27">
        <v>8</v>
      </c>
      <c r="R6" s="27">
        <v>8</v>
      </c>
      <c r="S6" s="27">
        <v>8</v>
      </c>
      <c r="T6" s="27">
        <v>8</v>
      </c>
      <c r="U6" s="27">
        <v>8</v>
      </c>
      <c r="V6" s="27" t="s">
        <v>59</v>
      </c>
      <c r="W6" s="27" t="s">
        <v>59</v>
      </c>
      <c r="X6" s="27">
        <v>8</v>
      </c>
      <c r="Y6" s="27">
        <v>8</v>
      </c>
      <c r="Z6" s="27">
        <v>8</v>
      </c>
      <c r="AA6" s="27">
        <v>8</v>
      </c>
      <c r="AB6" s="27">
        <v>8</v>
      </c>
      <c r="AC6" s="27" t="s">
        <v>59</v>
      </c>
      <c r="AD6" s="27" t="s">
        <v>59</v>
      </c>
      <c r="AE6" s="27">
        <v>8</v>
      </c>
      <c r="AF6" s="27">
        <v>8</v>
      </c>
      <c r="AG6" s="27">
        <v>8</v>
      </c>
      <c r="AH6" s="27">
        <v>8</v>
      </c>
      <c r="AI6" s="27">
        <v>8</v>
      </c>
      <c r="AJ6" s="27" t="s">
        <v>59</v>
      </c>
      <c r="AK6" s="27" t="s">
        <v>59</v>
      </c>
      <c r="AL6" s="27">
        <v>8</v>
      </c>
      <c r="AM6" s="27">
        <v>8</v>
      </c>
      <c r="AN6" s="27">
        <v>8</v>
      </c>
      <c r="AO6" s="27">
        <v>8</v>
      </c>
      <c r="AP6" s="27"/>
      <c r="AQ6" s="7" t="str">
        <f>_xlfn.IFNA(VLOOKUP(Table27[[#This Row],[Name]],Table1[[#All],[Name]:[Status]],4,FALSE),"")</f>
        <v>Active</v>
      </c>
      <c r="AR6" s="17">
        <f>Table27[[#This Row],[Actual Hours]]/Table27[[#This Row],[Max Billable Hours]]</f>
        <v>1</v>
      </c>
    </row>
    <row r="7" spans="2:44" x14ac:dyDescent="0.35">
      <c r="B7" s="22"/>
      <c r="C7" s="22"/>
      <c r="E7" s="31" t="s">
        <v>95</v>
      </c>
      <c r="F7" s="11" t="str">
        <f>VLOOKUP(Table27[[#This Row],[Emp ID]],Table1[],3,FALSE)</f>
        <v>Backend Developer</v>
      </c>
      <c r="G7" s="2" t="str">
        <f>VLOOKUP(Table27[[#This Row],[Emp ID]],Table1[],2,FALSE)</f>
        <v>Chandeashekhar Jani</v>
      </c>
      <c r="H7" s="2">
        <f>IF(Table27[[#This Row],[Status]]="Active",SUM(COUNT(Table27[[#This Row],[1]:[31]]), COUNTIF(Table27[[#This Row],[1]:[31]],"OFF"))*VLOOKUP(Table27[[#This Row],[Name]],Table1[[#All],[Name]:[Billable Hours per day]],6,FALSE),"")</f>
        <v>176</v>
      </c>
      <c r="I7" s="2">
        <f>IF(Table27[[#This Row],[Status]]="Active",SUM(Table27[[#This Row],[1]:[31]]),"")</f>
        <v>176</v>
      </c>
      <c r="J7" s="3">
        <v>35</v>
      </c>
      <c r="K7" s="14">
        <f>IFERROR(Table27[[#This Row],[Actual Hours]]*Table27[[#This Row],[Rate]],"")</f>
        <v>6160</v>
      </c>
      <c r="L7" s="27">
        <v>8</v>
      </c>
      <c r="M7" s="27">
        <v>8</v>
      </c>
      <c r="N7" s="27">
        <v>8</v>
      </c>
      <c r="O7" s="27" t="s">
        <v>59</v>
      </c>
      <c r="P7" s="27" t="s">
        <v>59</v>
      </c>
      <c r="Q7" s="27">
        <v>8</v>
      </c>
      <c r="R7" s="27">
        <v>8</v>
      </c>
      <c r="S7" s="27">
        <v>8</v>
      </c>
      <c r="T7" s="27">
        <v>8</v>
      </c>
      <c r="U7" s="27">
        <v>8</v>
      </c>
      <c r="V7" s="27" t="s">
        <v>59</v>
      </c>
      <c r="W7" s="27" t="s">
        <v>59</v>
      </c>
      <c r="X7" s="27">
        <v>8</v>
      </c>
      <c r="Y7" s="27">
        <v>8</v>
      </c>
      <c r="Z7" s="27">
        <v>8</v>
      </c>
      <c r="AA7" s="27">
        <v>8</v>
      </c>
      <c r="AB7" s="27">
        <v>8</v>
      </c>
      <c r="AC7" s="27" t="s">
        <v>59</v>
      </c>
      <c r="AD7" s="27" t="s">
        <v>59</v>
      </c>
      <c r="AE7" s="27">
        <v>8</v>
      </c>
      <c r="AF7" s="27">
        <v>8</v>
      </c>
      <c r="AG7" s="27">
        <v>8</v>
      </c>
      <c r="AH7" s="27">
        <v>8</v>
      </c>
      <c r="AI7" s="27">
        <v>8</v>
      </c>
      <c r="AJ7" s="27" t="s">
        <v>59</v>
      </c>
      <c r="AK7" s="27" t="s">
        <v>59</v>
      </c>
      <c r="AL7" s="27">
        <v>8</v>
      </c>
      <c r="AM7" s="27">
        <v>8</v>
      </c>
      <c r="AN7" s="27">
        <v>8</v>
      </c>
      <c r="AO7" s="27">
        <v>8</v>
      </c>
      <c r="AP7" s="27"/>
      <c r="AQ7" s="7" t="str">
        <f>_xlfn.IFNA(VLOOKUP(Table27[[#This Row],[Name]],Table1[[#All],[Name]:[Status]],4,FALSE),"")</f>
        <v>Active</v>
      </c>
      <c r="AR7" s="17">
        <f>Table27[[#This Row],[Actual Hours]]/Table27[[#This Row],[Max Billable Hours]]</f>
        <v>1</v>
      </c>
    </row>
    <row r="8" spans="2:44" x14ac:dyDescent="0.35">
      <c r="B8" s="19" t="s">
        <v>56</v>
      </c>
      <c r="C8" s="19"/>
      <c r="E8" s="10"/>
      <c r="F8" s="10"/>
      <c r="G8" s="2" t="s">
        <v>58</v>
      </c>
      <c r="H8" s="2">
        <f>SUBTOTAL(109,Table27[Max Billable Hours])</f>
        <v>352</v>
      </c>
      <c r="I8" s="2">
        <f>SUBTOTAL(109,Table27[Actual Hours])</f>
        <v>352</v>
      </c>
      <c r="J8" s="2"/>
      <c r="K8" s="16">
        <f>SUBTOTAL(109,Table27[Final Billing Amount])</f>
        <v>12320</v>
      </c>
      <c r="L8" s="10">
        <f>SUBTOTAL(109,Table27[1])</f>
        <v>16</v>
      </c>
      <c r="M8" s="10">
        <f>SUBTOTAL(109,Table27[2])</f>
        <v>16</v>
      </c>
      <c r="N8" s="10">
        <f>SUBTOTAL(109,Table27[3])</f>
        <v>16</v>
      </c>
      <c r="O8" s="10">
        <f>SUBTOTAL(109,Table27[4])</f>
        <v>0</v>
      </c>
      <c r="P8" s="10">
        <f>SUBTOTAL(109,Table27[5])</f>
        <v>0</v>
      </c>
      <c r="Q8" s="10">
        <f>SUBTOTAL(109,Table27[6])</f>
        <v>16</v>
      </c>
      <c r="R8" s="10">
        <f>SUBTOTAL(109,Table27[7])</f>
        <v>16</v>
      </c>
      <c r="S8" s="10">
        <f>SUBTOTAL(109,Table27[8])</f>
        <v>16</v>
      </c>
      <c r="T8" s="10">
        <f>SUBTOTAL(109,Table27[9])</f>
        <v>16</v>
      </c>
      <c r="U8" s="10">
        <f>SUBTOTAL(109,Table27[10])</f>
        <v>16</v>
      </c>
      <c r="V8" s="10">
        <f>SUBTOTAL(109,Table27[11])</f>
        <v>0</v>
      </c>
      <c r="W8" s="10">
        <f>SUBTOTAL(109,Table27[12])</f>
        <v>0</v>
      </c>
      <c r="X8" s="10">
        <f>SUBTOTAL(109,Table27[13])</f>
        <v>16</v>
      </c>
      <c r="Y8" s="10">
        <f>SUBTOTAL(109,Table27[14])</f>
        <v>16</v>
      </c>
      <c r="Z8" s="10">
        <f>SUBTOTAL(109,Table27[15])</f>
        <v>16</v>
      </c>
      <c r="AA8" s="10">
        <f>SUBTOTAL(109,Table27[16])</f>
        <v>16</v>
      </c>
      <c r="AB8" s="10">
        <f>SUBTOTAL(109,Table27[17])</f>
        <v>16</v>
      </c>
      <c r="AC8" s="10">
        <f>SUBTOTAL(109,Table27[18])</f>
        <v>0</v>
      </c>
      <c r="AD8" s="10">
        <f>SUBTOTAL(109,Table27[19])</f>
        <v>0</v>
      </c>
      <c r="AE8" s="10">
        <f>SUBTOTAL(109,Table27[20])</f>
        <v>16</v>
      </c>
      <c r="AF8" s="10">
        <f>SUBTOTAL(109,Table27[21])</f>
        <v>16</v>
      </c>
      <c r="AG8" s="10">
        <f>SUBTOTAL(109,Table27[22])</f>
        <v>16</v>
      </c>
      <c r="AH8" s="10">
        <f>SUBTOTAL(109,Table27[23])</f>
        <v>16</v>
      </c>
      <c r="AI8" s="10">
        <f>SUBTOTAL(109,Table27[24])</f>
        <v>16</v>
      </c>
      <c r="AJ8" s="10">
        <f>SUBTOTAL(109,Table27[25])</f>
        <v>0</v>
      </c>
      <c r="AK8" s="10">
        <f>SUBTOTAL(109,Table27[26])</f>
        <v>0</v>
      </c>
      <c r="AL8" s="10">
        <f>SUBTOTAL(109,Table27[27])</f>
        <v>16</v>
      </c>
      <c r="AM8" s="10">
        <f>SUBTOTAL(109,Table27[28])</f>
        <v>16</v>
      </c>
      <c r="AN8" s="10">
        <f>SUBTOTAL(109,Table27[29])</f>
        <v>16</v>
      </c>
      <c r="AO8" s="10">
        <f>SUBTOTAL(109,Table27[30])</f>
        <v>16</v>
      </c>
      <c r="AP8" s="10"/>
      <c r="AQ8" s="10"/>
      <c r="AR8" s="18">
        <f>Table27[[#Totals],[Actual Hours]]/Table27[[#Totals],[Max Billable Hours]]</f>
        <v>1</v>
      </c>
    </row>
    <row r="9" spans="2:44" x14ac:dyDescent="0.35">
      <c r="B9" s="38">
        <f>SUM(Table27[Max Billable Hours])</f>
        <v>352</v>
      </c>
      <c r="C9" s="38"/>
    </row>
    <row r="10" spans="2:44" x14ac:dyDescent="0.35">
      <c r="B10" s="38"/>
      <c r="C10" s="38"/>
    </row>
    <row r="12" spans="2:44" x14ac:dyDescent="0.35">
      <c r="B12" s="39" t="s">
        <v>20</v>
      </c>
      <c r="C12" s="39"/>
    </row>
    <row r="13" spans="2:44" x14ac:dyDescent="0.35">
      <c r="B13" s="36">
        <f>SUM(Table27[Actual Hours])</f>
        <v>352</v>
      </c>
      <c r="C13" s="36"/>
    </row>
    <row r="14" spans="2:44" x14ac:dyDescent="0.35">
      <c r="B14" s="36"/>
      <c r="C14" s="36"/>
    </row>
    <row r="16" spans="2:44" x14ac:dyDescent="0.35">
      <c r="B16" s="41" t="s">
        <v>68</v>
      </c>
      <c r="C16" s="41"/>
    </row>
    <row r="17" spans="2:3" x14ac:dyDescent="0.35">
      <c r="B17" s="32">
        <f>SUM(Table27[Actual Hours])/SUM(Table27[Max Billable Hours])</f>
        <v>1</v>
      </c>
      <c r="C17" s="32"/>
    </row>
    <row r="18" spans="2:3" x14ac:dyDescent="0.35">
      <c r="B18" s="32"/>
      <c r="C18" s="32"/>
    </row>
    <row r="20" spans="2:3" x14ac:dyDescent="0.35">
      <c r="B20" s="33"/>
      <c r="C20" s="33"/>
    </row>
    <row r="21" spans="2:3" x14ac:dyDescent="0.35">
      <c r="B21" s="34"/>
      <c r="C21" s="35"/>
    </row>
    <row r="22" spans="2:3" x14ac:dyDescent="0.35">
      <c r="B22" s="35"/>
      <c r="C22" s="35"/>
    </row>
  </sheetData>
  <mergeCells count="9">
    <mergeCell ref="B17:C18"/>
    <mergeCell ref="B20:C20"/>
    <mergeCell ref="B21:C22"/>
    <mergeCell ref="B13:C14"/>
    <mergeCell ref="B5:C5"/>
    <mergeCell ref="B9:C10"/>
    <mergeCell ref="B12:C12"/>
    <mergeCell ref="B6:C6"/>
    <mergeCell ref="B16:C16"/>
  </mergeCells>
  <phoneticPr fontId="1" type="noConversion"/>
  <conditionalFormatting sqref="J4:AP4">
    <cfRule type="beginsWith" dxfId="40" priority="158" operator="beginsWith" text="S">
      <formula>LEFT(J4,LEN("S"))="S"</formula>
    </cfRule>
  </conditionalFormatting>
  <conditionalFormatting sqref="L6:AO7 AO7:AQ7">
    <cfRule type="beginsWith" dxfId="39" priority="151" operator="beginsWith" text="H">
      <formula>LEFT(L6,LEN("H"))="H"</formula>
    </cfRule>
  </conditionalFormatting>
  <conditionalFormatting sqref="L6:AQ8">
    <cfRule type="containsText" dxfId="38" priority="157" operator="containsText" text="WO">
      <formula>NOT(ISERROR(SEARCH("WO",L6)))</formula>
    </cfRule>
    <cfRule type="containsText" dxfId="37" priority="156" operator="containsText" text="OF">
      <formula>NOT(ISERROR(SEARCH("OF",L6)))</formula>
    </cfRule>
  </conditionalFormatting>
  <conditionalFormatting sqref="N7:Q7 AB7:AC7">
    <cfRule type="containsText" dxfId="36" priority="152" operator="containsText" text="OF">
      <formula>NOT(ISERROR(SEARCH("OF",N7)))</formula>
    </cfRule>
    <cfRule type="containsText" dxfId="35" priority="153" operator="containsText" text="WO">
      <formula>NOT(ISERROR(SEARCH("WO",N7)))</formula>
    </cfRule>
  </conditionalFormatting>
  <conditionalFormatting sqref="AB7:AC7">
    <cfRule type="beginsWith" dxfId="34" priority="58" operator="beginsWith" text="H">
      <formula>LEFT(AB7,LEN("H"))="H"</formula>
    </cfRule>
    <cfRule type="containsText" dxfId="33" priority="59" operator="containsText" text="OF">
      <formula>NOT(ISERROR(SEARCH("OF",AB7)))</formula>
    </cfRule>
    <cfRule type="containsText" dxfId="32" priority="60" operator="containsText" text="WO">
      <formula>NOT(ISERROR(SEARCH("WO",AB7)))</formula>
    </cfRule>
  </conditionalFormatting>
  <conditionalFormatting sqref="AK6:AK7">
    <cfRule type="beginsWith" dxfId="31" priority="37" operator="beginsWith" text="H">
      <formula>LEFT(AK6,LEN("H"))="H"</formula>
    </cfRule>
    <cfRule type="containsText" dxfId="30" priority="38" operator="containsText" text="OF">
      <formula>NOT(ISERROR(SEARCH("OF",AK6)))</formula>
    </cfRule>
    <cfRule type="containsText" dxfId="29" priority="39" operator="containsText" text="WO">
      <formula>NOT(ISERROR(SEARCH("WO",AK6)))</formula>
    </cfRule>
    <cfRule type="beginsWith" dxfId="28" priority="46" operator="beginsWith" text="H">
      <formula>LEFT(AK6,LEN("H"))="H"</formula>
    </cfRule>
    <cfRule type="containsText" dxfId="27" priority="48" operator="containsText" text="WO">
      <formula>NOT(ISERROR(SEARCH("WO",AK6)))</formula>
    </cfRule>
    <cfRule type="containsText" dxfId="26" priority="47" operator="containsText" text="OF">
      <formula>NOT(ISERROR(SEARCH("OF",AK6)))</formula>
    </cfRule>
  </conditionalFormatting>
  <conditionalFormatting sqref="AK7">
    <cfRule type="beginsWith" dxfId="25" priority="61" operator="beginsWith" text="H">
      <formula>LEFT(AK7,LEN("H"))="H"</formula>
    </cfRule>
    <cfRule type="containsText" dxfId="24" priority="62" operator="containsText" text="OF">
      <formula>NOT(ISERROR(SEARCH("OF",AK7)))</formula>
    </cfRule>
    <cfRule type="containsText" dxfId="23" priority="63" operator="containsText" text="WO">
      <formula>NOT(ISERROR(SEARCH("WO",AK7)))</formula>
    </cfRule>
    <cfRule type="beginsWith" dxfId="22" priority="79" operator="beginsWith" text="H">
      <formula>LEFT(AK7,LEN("H"))="H"</formula>
    </cfRule>
    <cfRule type="containsText" dxfId="21" priority="80" operator="containsText" text="OF">
      <formula>NOT(ISERROR(SEARCH("OF",AK7)))</formula>
    </cfRule>
    <cfRule type="containsText" dxfId="20" priority="81" operator="containsText" text="WO">
      <formula>NOT(ISERROR(SEARCH("WO",AK7)))</formula>
    </cfRule>
    <cfRule type="beginsWith" dxfId="19" priority="106" operator="beginsWith" text="H">
      <formula>LEFT(AK7,LEN("H"))="H"</formula>
    </cfRule>
    <cfRule type="containsText" dxfId="18" priority="107" operator="containsText" text="OF">
      <formula>NOT(ISERROR(SEARCH("OF",AK7)))</formula>
    </cfRule>
    <cfRule type="containsText" dxfId="17" priority="108" operator="containsText" text="WO">
      <formula>NOT(ISERROR(SEARCH("WO",AK7)))</formula>
    </cfRule>
    <cfRule type="containsText" dxfId="16" priority="57" operator="containsText" text="WO">
      <formula>NOT(ISERROR(SEARCH("WO",AK7)))</formula>
    </cfRule>
    <cfRule type="containsText" dxfId="15" priority="56" operator="containsText" text="OF">
      <formula>NOT(ISERROR(SEARCH("OF",AK7)))</formula>
    </cfRule>
    <cfRule type="beginsWith" dxfId="14" priority="55" operator="beginsWith" text="H">
      <formula>LEFT(AK7,LEN("H"))="H"</formula>
    </cfRule>
  </conditionalFormatting>
  <conditionalFormatting sqref="AL6">
    <cfRule type="containsText" dxfId="13" priority="5" operator="containsText" text="OF">
      <formula>NOT(ISERROR(SEARCH("OF",AL6)))</formula>
    </cfRule>
    <cfRule type="containsText" dxfId="12" priority="6" operator="containsText" text="WO">
      <formula>NOT(ISERROR(SEARCH("WO",AL6)))</formula>
    </cfRule>
  </conditionalFormatting>
  <conditionalFormatting sqref="AL6:AL7">
    <cfRule type="beginsWith" dxfId="11" priority="4" operator="beginsWith" text="H">
      <formula>LEFT(AL6,LEN("H"))="H"</formula>
    </cfRule>
  </conditionalFormatting>
  <conditionalFormatting sqref="AM6:AM7">
    <cfRule type="beginsWith" dxfId="10" priority="3" operator="beginsWith" text="H">
      <formula>LEFT(AM6,LEN("H"))="H"</formula>
    </cfRule>
  </conditionalFormatting>
  <conditionalFormatting sqref="AM6:AN7">
    <cfRule type="beginsWith" dxfId="9" priority="2" operator="beginsWith" text="H">
      <formula>LEFT(AM6,LEN("H"))="H"</formula>
    </cfRule>
  </conditionalFormatting>
  <conditionalFormatting sqref="AN6:AQ6 W6:X6 AA6:AE6 AN7:AO7 L8:AQ8">
    <cfRule type="beginsWith" dxfId="8" priority="155" operator="beginsWith" text="H">
      <formula>LEFT(L6,LEN("H"))="H"</formula>
    </cfRule>
  </conditionalFormatting>
  <conditionalFormatting sqref="AO6">
    <cfRule type="beginsWith" dxfId="7" priority="103" operator="beginsWith" text="H">
      <formula>LEFT(AO6,LEN("H"))="H"</formula>
    </cfRule>
    <cfRule type="containsText" dxfId="6" priority="104" operator="containsText" text="OF">
      <formula>NOT(ISERROR(SEARCH("OF",AO6)))</formula>
    </cfRule>
    <cfRule type="containsText" dxfId="5" priority="105" operator="containsText" text="WO">
      <formula>NOT(ISERROR(SEARCH("WO",AO6)))</formula>
    </cfRule>
  </conditionalFormatting>
  <conditionalFormatting sqref="AO6:AP6">
    <cfRule type="beginsWith" dxfId="4" priority="1" operator="beginsWith" text="H">
      <formula>LEFT(AO6,LEN("H"))="H"</formula>
    </cfRule>
  </conditionalFormatting>
  <conditionalFormatting sqref="AP6:AP7">
    <cfRule type="beginsWith" dxfId="3" priority="19" operator="beginsWith" text="H">
      <formula>LEFT(AP6,LEN("H"))="H"</formula>
    </cfRule>
  </conditionalFormatting>
  <conditionalFormatting sqref="AP7">
    <cfRule type="containsText" dxfId="2" priority="20" operator="containsText" text="OF">
      <formula>NOT(ISERROR(SEARCH("OF",AP7)))</formula>
    </cfRule>
    <cfRule type="containsText" dxfId="1" priority="21" operator="containsText" text="WO">
      <formula>NOT(ISERROR(SEARCH("WO",AP7)))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7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17"/>
  <sheetViews>
    <sheetView zoomScale="150" workbookViewId="0">
      <selection activeCell="B12" sqref="B12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3" t="s">
        <v>77</v>
      </c>
      <c r="C2" s="20" t="s">
        <v>74</v>
      </c>
      <c r="D2" s="20" t="s">
        <v>78</v>
      </c>
      <c r="E2" s="1"/>
      <c r="F2" t="s">
        <v>61</v>
      </c>
      <c r="H2">
        <v>8</v>
      </c>
    </row>
    <row r="3" spans="2:8" x14ac:dyDescent="0.35">
      <c r="B3" s="23">
        <v>4378</v>
      </c>
      <c r="C3" s="20" t="s">
        <v>75</v>
      </c>
      <c r="D3" s="20" t="s">
        <v>79</v>
      </c>
      <c r="E3" s="1"/>
      <c r="F3" t="s">
        <v>61</v>
      </c>
      <c r="H3">
        <v>8</v>
      </c>
    </row>
    <row r="4" spans="2:8" x14ac:dyDescent="0.35">
      <c r="B4" s="23">
        <v>4217</v>
      </c>
      <c r="C4" s="20" t="s">
        <v>76</v>
      </c>
      <c r="D4" s="20" t="s">
        <v>80</v>
      </c>
      <c r="E4" s="1"/>
      <c r="F4" t="s">
        <v>61</v>
      </c>
      <c r="H4">
        <v>8</v>
      </c>
    </row>
    <row r="5" spans="2:8" x14ac:dyDescent="0.35">
      <c r="B5" s="24" t="s">
        <v>81</v>
      </c>
      <c r="C5" s="21" t="s">
        <v>82</v>
      </c>
      <c r="D5" t="s">
        <v>83</v>
      </c>
      <c r="E5" s="1"/>
      <c r="F5" t="s">
        <v>61</v>
      </c>
      <c r="H5">
        <v>8</v>
      </c>
    </row>
    <row r="6" spans="2:8" x14ac:dyDescent="0.35">
      <c r="B6" s="24">
        <v>5883</v>
      </c>
      <c r="C6" s="21" t="s">
        <v>84</v>
      </c>
      <c r="D6" t="s">
        <v>85</v>
      </c>
      <c r="E6" s="1"/>
      <c r="F6" t="s">
        <v>61</v>
      </c>
      <c r="H6">
        <v>8</v>
      </c>
    </row>
    <row r="7" spans="2:8" x14ac:dyDescent="0.35">
      <c r="B7" s="24">
        <v>3476</v>
      </c>
      <c r="C7" s="21" t="s">
        <v>87</v>
      </c>
      <c r="D7" t="s">
        <v>85</v>
      </c>
      <c r="E7" s="1"/>
      <c r="F7" t="s">
        <v>61</v>
      </c>
      <c r="H7">
        <v>8</v>
      </c>
    </row>
    <row r="8" spans="2:8" x14ac:dyDescent="0.35">
      <c r="B8" s="25" t="s">
        <v>86</v>
      </c>
      <c r="C8" s="20" t="s">
        <v>88</v>
      </c>
      <c r="D8" s="20" t="s">
        <v>83</v>
      </c>
      <c r="E8" s="1"/>
      <c r="F8" t="s">
        <v>61</v>
      </c>
      <c r="H8">
        <v>8</v>
      </c>
    </row>
    <row r="9" spans="2:8" x14ac:dyDescent="0.35">
      <c r="B9" s="26" t="s">
        <v>89</v>
      </c>
      <c r="C9" t="s">
        <v>90</v>
      </c>
      <c r="D9" t="s">
        <v>80</v>
      </c>
      <c r="E9" s="1"/>
      <c r="F9" t="s">
        <v>61</v>
      </c>
      <c r="H9">
        <v>8</v>
      </c>
    </row>
    <row r="10" spans="2:8" x14ac:dyDescent="0.35">
      <c r="B10" s="25">
        <v>2325</v>
      </c>
      <c r="C10" t="s">
        <v>91</v>
      </c>
      <c r="D10" t="s">
        <v>85</v>
      </c>
      <c r="E10" s="1"/>
      <c r="F10" t="s">
        <v>61</v>
      </c>
      <c r="H10">
        <v>8</v>
      </c>
    </row>
    <row r="11" spans="2:8" x14ac:dyDescent="0.35">
      <c r="B11" s="20" t="s">
        <v>92</v>
      </c>
      <c r="C11" t="s">
        <v>93</v>
      </c>
      <c r="D11" t="s">
        <v>94</v>
      </c>
      <c r="E11" s="1"/>
      <c r="F11" t="s">
        <v>61</v>
      </c>
      <c r="H11">
        <v>8</v>
      </c>
    </row>
    <row r="12" spans="2:8" x14ac:dyDescent="0.35">
      <c r="B12" s="28" t="s">
        <v>95</v>
      </c>
      <c r="C12" s="29" t="s">
        <v>96</v>
      </c>
      <c r="D12" s="30" t="s">
        <v>83</v>
      </c>
      <c r="E12" s="1"/>
      <c r="F12" t="s">
        <v>61</v>
      </c>
      <c r="H12">
        <v>8</v>
      </c>
    </row>
    <row r="13" spans="2:8" x14ac:dyDescent="0.35">
      <c r="E13" s="1"/>
    </row>
    <row r="14" spans="2:8" x14ac:dyDescent="0.35">
      <c r="E14" s="1"/>
    </row>
    <row r="15" spans="2:8" x14ac:dyDescent="0.35">
      <c r="E15" s="1"/>
    </row>
    <row r="16" spans="2:8" x14ac:dyDescent="0.35">
      <c r="E16" s="1"/>
    </row>
    <row r="17" spans="5:5" x14ac:dyDescent="0.35">
      <c r="E17" s="1"/>
    </row>
  </sheetData>
  <conditionalFormatting sqref="D5:D7 D9:D11 D13:D17">
    <cfRule type="expression" dxfId="0" priority="3">
      <formula>LEFT(#REF!,1)="S"</formula>
    </cfRule>
  </conditionalFormatting>
  <dataValidations count="1">
    <dataValidation type="list" allowBlank="1" showInputMessage="1" showErrorMessage="1" sqref="F2:F17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1" sqref="F11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  <c r="E6">
        <v>2025</v>
      </c>
    </row>
    <row r="7" spans="2:5" x14ac:dyDescent="0.35">
      <c r="B7" t="s">
        <v>13</v>
      </c>
      <c r="C7">
        <v>6</v>
      </c>
      <c r="E7">
        <v>2026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March '26</vt:lpstr>
      <vt:lpstr>Team</vt:lpstr>
      <vt:lpstr>Data</vt:lpstr>
      <vt:lpstr>'March ''26'!Month</vt:lpstr>
      <vt:lpstr>Month</vt:lpstr>
      <vt:lpstr>'March ''26'!Team</vt:lpstr>
      <vt:lpstr>Team</vt:lpstr>
      <vt:lpstr>'March ''26'!Year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2026-05-12T11:32:52Z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a9ba5a-04bf-48bc-bbac-e0a79bda9f06_Enabled">
    <vt:lpwstr>true</vt:lpwstr>
  </property>
  <property fmtid="{D5CDD505-2E9C-101B-9397-08002B2CF9AE}" pid="3" name="MSIP_Label_c2a9ba5a-04bf-48bc-bbac-e0a79bda9f06_SetDate">
    <vt:lpwstr>2025-05-30T06:02:58Z</vt:lpwstr>
  </property>
  <property fmtid="{D5CDD505-2E9C-101B-9397-08002B2CF9AE}" pid="4" name="MSIP_Label_c2a9ba5a-04bf-48bc-bbac-e0a79bda9f06_Method">
    <vt:lpwstr>Standard</vt:lpwstr>
  </property>
  <property fmtid="{D5CDD505-2E9C-101B-9397-08002B2CF9AE}" pid="5" name="MSIP_Label_c2a9ba5a-04bf-48bc-bbac-e0a79bda9f06_Name">
    <vt:lpwstr>c2a9ba5a-04bf-48bc-bbac-e0a79bda9f06</vt:lpwstr>
  </property>
  <property fmtid="{D5CDD505-2E9C-101B-9397-08002B2CF9AE}" pid="6" name="MSIP_Label_c2a9ba5a-04bf-48bc-bbac-e0a79bda9f06_SiteId">
    <vt:lpwstr>5a50bdd9-5b35-4c1f-a977-f078974e6d10</vt:lpwstr>
  </property>
  <property fmtid="{D5CDD505-2E9C-101B-9397-08002B2CF9AE}" pid="7" name="MSIP_Label_c2a9ba5a-04bf-48bc-bbac-e0a79bda9f06_ActionId">
    <vt:lpwstr>d66f8489-6faa-476d-bd18-5a0c0084cfe0</vt:lpwstr>
  </property>
  <property fmtid="{D5CDD505-2E9C-101B-9397-08002B2CF9AE}" pid="8" name="MSIP_Label_c2a9ba5a-04bf-48bc-bbac-e0a79bda9f06_ContentBits">
    <vt:lpwstr>0</vt:lpwstr>
  </property>
</Properties>
</file>