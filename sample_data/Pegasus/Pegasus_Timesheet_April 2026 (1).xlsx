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akumar\Downloads\"/>
    </mc:Choice>
  </mc:AlternateContent>
  <xr:revisionPtr revIDLastSave="6" documentId="13_ncr:1_{5387D9F0-98EC-4D43-AF7B-2E914FEE571D}" xr6:coauthVersionLast="47" xr6:coauthVersionMax="47" xr10:uidLastSave="{7CF24117-AB86-4D41-954C-B769A37A1794}"/>
  <bookViews>
    <workbookView xWindow="-110" yWindow="-110" windowWidth="19420" windowHeight="11500" firstSheet="1" activeTab="1" xr2:uid="{D17B7CAD-D25E-4F20-8096-0A9ACC033B04}"/>
  </bookViews>
  <sheets>
    <sheet name="Instructions" sheetId="6" r:id="rId1"/>
    <sheet name="March '26" sheetId="5" r:id="rId2"/>
    <sheet name="Team" sheetId="1" r:id="rId3"/>
    <sheet name="Data" sheetId="3" state="hidden" r:id="rId4"/>
  </sheets>
  <definedNames>
    <definedName name="Month" localSheetId="1">Table3[Months]</definedName>
    <definedName name="Month">Table3[Months]</definedName>
    <definedName name="Team" localSheetId="1">Table1[Name]</definedName>
    <definedName name="Team">Table1[Name]</definedName>
    <definedName name="Year" localSheetId="1">Table4[Year]</definedName>
    <definedName name="Year">Table4[Year]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5" l="1"/>
  <c r="F7" i="5"/>
  <c r="G6" i="5"/>
  <c r="G7" i="5"/>
  <c r="AQ7" i="5" s="1"/>
  <c r="I7" i="5" l="1"/>
  <c r="K7" i="5" s="1"/>
  <c r="H7" i="5"/>
  <c r="AJ4" i="5"/>
  <c r="AK4" i="5"/>
  <c r="AL4" i="5"/>
  <c r="AM4" i="5"/>
  <c r="AN4" i="5"/>
  <c r="AO4" i="5"/>
  <c r="AE4" i="5"/>
  <c r="AF4" i="5"/>
  <c r="AG4" i="5"/>
  <c r="AH4" i="5"/>
  <c r="AI4" i="5"/>
  <c r="AA4" i="5"/>
  <c r="AB4" i="5"/>
  <c r="AC4" i="5"/>
  <c r="AD4" i="5"/>
  <c r="Y4" i="5"/>
  <c r="Z4" i="5"/>
  <c r="W4" i="5"/>
  <c r="X4" i="5"/>
  <c r="M4" i="5"/>
  <c r="N4" i="5"/>
  <c r="O4" i="5"/>
  <c r="P4" i="5"/>
  <c r="Q4" i="5"/>
  <c r="R4" i="5"/>
  <c r="S4" i="5"/>
  <c r="T4" i="5"/>
  <c r="U4" i="5"/>
  <c r="V4" i="5"/>
  <c r="L4" i="5"/>
  <c r="AR7" i="5" l="1"/>
  <c r="AQ6" i="5" l="1"/>
  <c r="I6" i="5" l="1"/>
  <c r="K6" i="5" s="1"/>
  <c r="H6" i="5"/>
  <c r="AR6" i="5" s="1"/>
  <c r="AP4" i="5" l="1"/>
  <c r="B6" i="5" l="1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W8" i="5"/>
  <c r="M8" i="5"/>
  <c r="N8" i="5"/>
  <c r="O8" i="5"/>
  <c r="P8" i="5"/>
  <c r="Q8" i="5"/>
  <c r="R8" i="5"/>
  <c r="S8" i="5"/>
  <c r="T8" i="5"/>
  <c r="U8" i="5"/>
  <c r="V8" i="5"/>
  <c r="L8" i="5"/>
  <c r="H8" i="5" l="1"/>
  <c r="B9" i="5"/>
  <c r="I8" i="5"/>
  <c r="B17" i="5"/>
  <c r="B13" i="5"/>
  <c r="AR8" i="5" l="1"/>
  <c r="K8" i="5"/>
</calcChain>
</file>

<file path=xl/sharedStrings.xml><?xml version="1.0" encoding="utf-8"?>
<sst xmlns="http://schemas.openxmlformats.org/spreadsheetml/2006/main" count="137" uniqueCount="98">
  <si>
    <t>INSTRUCTIONS</t>
  </si>
  <si>
    <t>Please use these codes appropriately in the timesheet</t>
  </si>
  <si>
    <t>WO</t>
  </si>
  <si>
    <t>Week off for Saturday and Sundays</t>
  </si>
  <si>
    <t>OFF</t>
  </si>
  <si>
    <t>When the team member has taken an off</t>
  </si>
  <si>
    <t>H</t>
  </si>
  <si>
    <t>Public or National Holiday</t>
  </si>
  <si>
    <t>MONTH</t>
  </si>
  <si>
    <t>YEAR</t>
  </si>
  <si>
    <t>PROJECT</t>
  </si>
  <si>
    <t>April</t>
  </si>
  <si>
    <t>Pegasus</t>
  </si>
  <si>
    <t>Total Bill</t>
  </si>
  <si>
    <t>Emp ID</t>
  </si>
  <si>
    <t>Role as per SoW</t>
  </si>
  <si>
    <t>Name</t>
  </si>
  <si>
    <t>Max Billable Hours</t>
  </si>
  <si>
    <t>Actual Hours</t>
  </si>
  <si>
    <t>Rate</t>
  </si>
  <si>
    <t>Final Billing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</si>
  <si>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</si>
  <si>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</si>
  <si>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</si>
  <si>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</si>
  <si>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</si>
  <si>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</si>
  <si>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</si>
  <si>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</si>
  <si>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</si>
  <si>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</si>
  <si>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</si>
  <si>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</si>
  <si>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</si>
  <si>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</si>
  <si>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</si>
  <si>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</si>
  <si>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</si>
  <si>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</si>
  <si>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</si>
  <si>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</si>
  <si>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</si>
  <si>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</si>
  <si>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</si>
  <si>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</si>
  <si>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</si>
  <si>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</si>
  <si>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</si>
  <si>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</si>
  <si>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</si>
  <si>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</si>
  <si>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</si>
  <si>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Status</t>
  </si>
  <si>
    <t>Billing %</t>
  </si>
  <si>
    <t>RH0095</t>
  </si>
  <si>
    <t>1100-11782</t>
  </si>
  <si>
    <t>Max Billable</t>
  </si>
  <si>
    <t>Total</t>
  </si>
  <si>
    <t>Utilisation</t>
  </si>
  <si>
    <t>Onboard date</t>
  </si>
  <si>
    <t>LWD</t>
  </si>
  <si>
    <t>Billable Hours per day</t>
  </si>
  <si>
    <t>Rohit Nayal</t>
  </si>
  <si>
    <t>ML-NLP</t>
  </si>
  <si>
    <t>Active</t>
  </si>
  <si>
    <t>Apoorva Rastogi</t>
  </si>
  <si>
    <t>Senior BA</t>
  </si>
  <si>
    <t>Venu Thanneeru</t>
  </si>
  <si>
    <t>Fullstack</t>
  </si>
  <si>
    <t>1100-5100</t>
  </si>
  <si>
    <t>MadhuSudhan Reddy Thota</t>
  </si>
  <si>
    <t>Backend Developer</t>
  </si>
  <si>
    <t>Chetan N</t>
  </si>
  <si>
    <t>Frontend Developer</t>
  </si>
  <si>
    <t>Bhavani Sivarambotla</t>
  </si>
  <si>
    <t>1100-5229</t>
  </si>
  <si>
    <t>Madhusudhakar Malle</t>
  </si>
  <si>
    <t>1100-11640</t>
  </si>
  <si>
    <t>Raj Yadav</t>
  </si>
  <si>
    <t>Maruti H</t>
  </si>
  <si>
    <t>1101-3242</t>
  </si>
  <si>
    <t>Afroz Ahmed Sheikh</t>
  </si>
  <si>
    <t>Fullstack Developer</t>
  </si>
  <si>
    <t>Chandeashekhar Jani</t>
  </si>
  <si>
    <t>Months</t>
  </si>
  <si>
    <t>#</t>
  </si>
  <si>
    <t>Year</t>
  </si>
  <si>
    <t>January</t>
  </si>
  <si>
    <t>February</t>
  </si>
  <si>
    <t>March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</si>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</sst>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 tint="0.499984740745262"/>
      <name val="Segoe UI"/>
      <family val="2"/>
    </font>
    <font>
      <sz val="20"/>
      <color theme="8" tint="-0.249977111117893"/>
      <name val="Segoe UI"/>
      <family val="2"/>
    </font>
    <font>
      <b/>
      <sz val="8"/>
      <color theme="8" tint="-0.249977111117893"/>
      <name val="Segoe UI"/>
      <family val="2"/>
    </font>
    <font>
      <b/>
      <sz val="8"/>
      <color theme="1"/>
      <name val="Segoe UI"/>
      <family val="2"/>
    </font>
    <font>
      <b/>
      <sz val="8"/>
      <color theme="7" tint="-0.499984740745262"/>
      <name val="Segoe UI"/>
      <family val="2"/>
    </font>
    <font>
      <b/>
      <sz val="8"/>
      <color theme="9" tint="-0.249977111117893"/>
      <name val="Segoe UI"/>
      <family val="2"/>
    </font>
    <font>
      <sz val="8"/>
      <color rgb="FF000000"/>
      <name val="Segoe UI"/>
      <family val="2"/>
    </font>
    <font>
      <b/>
      <sz val="22"/>
      <color theme="7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0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42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4" fontId="2" fillId="6" borderId="0" xfId="0" applyNumberFormat="1" applyFont="1" applyFill="1"/>
    <xf numFmtId="0" fontId="2" fillId="7" borderId="0" xfId="0" applyFont="1" applyFill="1" applyAlignment="1">
      <alignment wrapText="1"/>
    </xf>
    <xf numFmtId="164" fontId="16" fillId="7" borderId="0" xfId="0" applyNumberFormat="1" applyFont="1" applyFill="1"/>
    <xf numFmtId="9" fontId="9" fillId="6" borderId="0" xfId="1" applyFont="1" applyFill="1" applyAlignment="1">
      <alignment horizontal="right" vertical="center"/>
    </xf>
    <xf numFmtId="10" fontId="16" fillId="7" borderId="0" xfId="0" applyNumberFormat="1" applyFont="1" applyFill="1" applyAlignment="1">
      <alignment horizontal="right"/>
    </xf>
    <xf numFmtId="0" fontId="7" fillId="3" borderId="0" xfId="0" applyFont="1" applyFill="1"/>
    <xf numFmtId="0" fontId="18" fillId="0" borderId="0" xfId="0" applyFont="1"/>
    <xf numFmtId="0" fontId="19" fillId="0" borderId="0" xfId="0" applyFont="1"/>
    <xf numFmtId="0" fontId="7" fillId="8" borderId="0" xfId="0" applyFont="1" applyFill="1"/>
    <xf numFmtId="0" fontId="18" fillId="0" borderId="0" xfId="0" applyFont="1" applyAlignment="1">
      <alignment horizontal="center" vertical="top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9" fillId="9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top"/>
    </xf>
    <xf numFmtId="10" fontId="14" fillId="5" borderId="0" xfId="0" applyNumberFormat="1" applyFont="1" applyFill="1" applyAlignment="1">
      <alignment horizontal="right"/>
    </xf>
    <xf numFmtId="164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right"/>
    </xf>
    <xf numFmtId="0" fontId="10" fillId="3" borderId="0" xfId="0" applyFont="1" applyFill="1" applyAlignment="1">
      <alignment horizontal="right"/>
    </xf>
    <xf numFmtId="164" fontId="12" fillId="2" borderId="0" xfId="0" applyNumberFormat="1" applyFont="1" applyFill="1" applyAlignment="1">
      <alignment horizontal="right"/>
    </xf>
    <xf numFmtId="0" fontId="8" fillId="2" borderId="0" xfId="0" applyFont="1" applyFill="1" applyAlignment="1"/>
    <xf numFmtId="0" fontId="6" fillId="4" borderId="0" xfId="0" applyFont="1" applyFill="1" applyAlignment="1"/>
    <xf numFmtId="0" fontId="6" fillId="5" borderId="0" xfId="0" applyFont="1" applyFill="1" applyAlignment="1"/>
    <xf numFmtId="0" fontId="6" fillId="0" borderId="0" xfId="0" applyFont="1" applyAlignment="1"/>
  </cellXfs>
  <cellStyles count="2">
    <cellStyle name="Normal" xfId="0" builtinId="0"/>
    <cellStyle name="Percent" xfId="1" builtinId="5"/>
  </cellStyles>
  <dxfs count="124">
    <dxf>
      <numFmt numFmtId="165" formatCode="dd/mm/yyyy"/>
    </dxf>
    <dxf>
      <fill>
        <patternFill>
          <bgColor theme="9" tint="0.59996337778862885"/>
        </patternFill>
      </fill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4" formatCode="0.00%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66"/>
        </patternFill>
      </fill>
    </dxf>
  </dxfs>
  <tableStyles count="0" defaultTableStyle="TableStyleMedium2" defaultPivotStyle="PivotStyleLight16"/>
  <colors>
    <mruColors>
      <color rgb="FFFF0066"/>
      <color rgb="FFFF5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D8C17-1601-4130-BC1E-DD75642252C4}" name="Table27" displayName="Table27" ref="E5:AR8" totalsRowCount="1" headerRowDxfId="83" dataDxfId="82">
  <tableColumns count="40">
    <tableColumn id="40" xr3:uid="{0A54AE2F-C256-4AA4-81C3-E00ACCC76EC8}" name="Emp ID" dataDxfId="80" totalsRowDxfId="81"/>
    <tableColumn id="39" xr3:uid="{9669CAB7-33E5-40E8-9ECD-BFA5F383C0BD}" name="Role as per SoW" dataDxfId="78" totalsRowDxfId="79">
      <calculatedColumnFormula>VLOOKUP(Table27[[#This Row],[Emp ID]],Table1[],3,FALSE)</calculatedColumnFormula>
    </tableColumn>
    <tableColumn id="1" xr3:uid="{4449859A-55A6-45AA-8A96-FCC6309D5F60}" name="Name" totalsRowLabel="Total" dataDxfId="76" totalsRowDxfId="77">
      <calculatedColumnFormula>VLOOKUP(Table27[[#This Row],[Emp ID]],Table1[],2,FALSE)</calculatedColumnFormula>
    </tableColumn>
    <tableColumn id="2" xr3:uid="{25895A40-683C-400E-B977-6736C26F70FF}" name="Max Billable Hours" totalsRowFunction="sum" dataDxfId="74" totalsRowDxfId="75">
      <calculatedColumnFormula>IF(Table27[[#This Row],[Status]]="Active",SUM(COUNT(Table27[[#This Row],[1]:[31]]), COUNTIF(Table27[[#This Row],[1]:[31]],"OFF"))*VLOOKUP(Table27[[#This Row],[Name]],Table1[[#All],[Name]:[Billable Hours per day]],6,FALSE),"")</calculatedColumnFormula>
    </tableColumn>
    <tableColumn id="3" xr3:uid="{42257E96-50F7-4B29-B3B1-132233AB2AA6}" name="Actual Hours" totalsRowFunction="sum" dataDxfId="72" totalsRowDxfId="73">
      <calculatedColumnFormula>IF(Table27[[#This Row],[Status]]="Active",SUM(Table27[[#This Row],[1]:[31]]),"")</calculatedColumnFormula>
    </tableColumn>
    <tableColumn id="4" xr3:uid="{C4F1F072-CB0B-4451-B5C6-05FB81DFFC03}" name="Rate" dataDxfId="70" totalsRowDxfId="71"/>
    <tableColumn id="5" xr3:uid="{6E3636B9-97B1-4231-848A-84020E8CD1A3}" name="Final Billing Amount" totalsRowFunction="sum" dataDxfId="68" totalsRowDxfId="69">
      <calculatedColumnFormula>IFERROR(Table27[[#This Row],[Actual Hours]]*Table27[[#This Row],[Rate]],"")</calculatedColumnFormula>
    </tableColumn>
    <tableColumn id="6" xr3:uid="{D4793879-E2F3-472D-8E9B-2105426B8F6B}" name="1" totalsRowFunction="sum" dataDxfId="66" totalsRowDxfId="67"/>
    <tableColumn id="7" xr3:uid="{E486E4A8-41C0-4AFF-BB9A-B45102FE633C}" name="2" totalsRowFunction="sum" dataDxfId="64" totalsRowDxfId="65"/>
    <tableColumn id="8" xr3:uid="{4A4F0742-3816-4B9E-9F0A-7F96C051FEC1}" name="3" totalsRowFunction="sum" dataDxfId="62" totalsRowDxfId="63"/>
    <tableColumn id="9" xr3:uid="{24E6AAA5-D211-40AD-808B-294BCA6071A0}" name="4" totalsRowFunction="sum" dataDxfId="60" totalsRowDxfId="61"/>
    <tableColumn id="10" xr3:uid="{70086128-55FD-4B5D-AE29-F9B280C62589}" name="5" totalsRowFunction="sum" dataDxfId="58" totalsRowDxfId="59"/>
    <tableColumn id="11" xr3:uid="{F86580CD-5B8C-4123-A821-D46F4A6EC4F6}" name="6" totalsRowFunction="sum" dataDxfId="56" totalsRowDxfId="57"/>
    <tableColumn id="12" xr3:uid="{6F961A6F-63D3-4D42-AE89-E86613A2C14F}" name="7" totalsRowFunction="sum" dataDxfId="54" totalsRowDxfId="55"/>
    <tableColumn id="13" xr3:uid="{554D2725-AA19-4B75-A7B9-2A8387E18BDC}" name="8" totalsRowFunction="sum" dataDxfId="52" totalsRowDxfId="53"/>
    <tableColumn id="14" xr3:uid="{63D8B858-12A3-4A0B-A826-BE3186D9F21F}" name="9" totalsRowFunction="sum" dataDxfId="50" totalsRowDxfId="51"/>
    <tableColumn id="15" xr3:uid="{B19FFC3C-59E3-475E-8113-0CE80BFE9635}" name="10" totalsRowFunction="sum" dataDxfId="48" totalsRowDxfId="49"/>
    <tableColumn id="16" xr3:uid="{D5D68AE4-2278-40D7-BFED-A0B492731248}" name="11" totalsRowFunction="sum" dataDxfId="46" totalsRowDxfId="47"/>
    <tableColumn id="17" xr3:uid="{30651372-2451-4B32-ACB6-665FBA20F98B}" name="12" totalsRowFunction="sum" dataDxfId="44" totalsRowDxfId="45"/>
    <tableColumn id="18" xr3:uid="{D0FAAF2E-7D84-4E6B-90D7-80E1E12AFF8B}" name="13" totalsRowFunction="sum" dataDxfId="42" totalsRowDxfId="43"/>
    <tableColumn id="19" xr3:uid="{DA2E8EE3-9D9F-4FCB-B634-0F5CDF5A99C6}" name="14" totalsRowFunction="sum" dataDxfId="40" totalsRowDxfId="41"/>
    <tableColumn id="20" xr3:uid="{27F58B70-B194-47CB-B393-AB8FB149C0CD}" name="15" totalsRowFunction="sum" dataDxfId="38" totalsRowDxfId="39"/>
    <tableColumn id="21" xr3:uid="{A626272B-9B6C-49DD-B884-912D4983CB24}" name="16" totalsRowFunction="sum" dataDxfId="36" totalsRowDxfId="37"/>
    <tableColumn id="22" xr3:uid="{2D327AA4-6E26-4B2B-A188-C61BB78F1A4F}" name="17" totalsRowFunction="sum" dataDxfId="34" totalsRowDxfId="35"/>
    <tableColumn id="23" xr3:uid="{81418BDA-3722-4FD6-A1AC-D19EC0365795}" name="18" totalsRowFunction="sum" dataDxfId="32" totalsRowDxfId="33"/>
    <tableColumn id="24" xr3:uid="{748261B7-3B42-48B0-B56D-6066930E4F45}" name="19" totalsRowFunction="sum" dataDxfId="30" totalsRowDxfId="31"/>
    <tableColumn id="25" xr3:uid="{27D1FC17-EEA9-4BBA-9BF0-F488BB07BC27}" name="20" totalsRowFunction="sum" dataDxfId="28" totalsRowDxfId="29"/>
    <tableColumn id="26" xr3:uid="{CE5F7E04-EA29-476A-8C04-10311E5AA245}" name="21" totalsRowFunction="sum" dataDxfId="26" totalsRowDxfId="27"/>
    <tableColumn id="27" xr3:uid="{6A1ED293-6B3A-4F5F-878E-BC6852209689}" name="22" totalsRowFunction="sum" dataDxfId="24" totalsRowDxfId="25"/>
    <tableColumn id="28" xr3:uid="{DED4194D-2CE9-4CED-A0E1-5517221173CE}" name="23" totalsRowFunction="sum" dataDxfId="22" totalsRowDxfId="23"/>
    <tableColumn id="29" xr3:uid="{8F702A72-079F-4DDC-8889-42FF1892A8D9}" name="24" totalsRowFunction="sum" dataDxfId="20" totalsRowDxfId="21"/>
    <tableColumn id="30" xr3:uid="{952EC144-0583-4A0E-9606-7D1C67415A11}" name="25" totalsRowFunction="sum" dataDxfId="18" totalsRowDxfId="19"/>
    <tableColumn id="31" xr3:uid="{02E5AB35-203D-45F7-968D-89FFFD7605BD}" name="26" totalsRowFunction="sum" dataDxfId="16" totalsRowDxfId="17"/>
    <tableColumn id="32" xr3:uid="{74C12FEA-BDE5-479D-93E6-E783309D1823}" name="27" totalsRowFunction="sum" dataDxfId="14" totalsRowDxfId="15"/>
    <tableColumn id="33" xr3:uid="{9340BC5C-0231-47F4-BAAB-F3EC43CAB876}" name="28" totalsRowFunction="sum" dataDxfId="12" totalsRowDxfId="13"/>
    <tableColumn id="34" xr3:uid="{3EAF38D2-F687-4B74-91B5-FCEBE8F0AF14}" name="29" totalsRowFunction="sum" dataDxfId="10" totalsRowDxfId="11"/>
    <tableColumn id="35" xr3:uid="{EA5A44B8-FFE4-4939-963A-C719186ADF9D}" name="30" totalsRowFunction="sum" dataDxfId="8" totalsRowDxfId="9"/>
    <tableColumn id="36" xr3:uid="{F4FC74EA-7D3E-4BCD-81C3-3AD31C403124}" name="31" dataDxfId="6" totalsRowDxfId="7"/>
    <tableColumn id="38" xr3:uid="{04D5C202-3AEB-4435-9159-2F359239778C}" name="Status" dataDxfId="4" totalsRowDxfId="5">
      <calculatedColumnFormula>_xlfn.IFNA(VLOOKUP(Table27[[#This Row],[Name]],Table1[[#All],[Name]:[Status]],4,FALSE),"")</calculatedColumnFormula>
    </tableColumn>
    <tableColumn id="37" xr3:uid="{CF7A8946-2CDE-4C23-8580-6C1FEFBCBE31}" name="Billing %" totalsRowFunction="custom" dataDxfId="2" totalsRowDxfId="3">
      <calculatedColumnFormula>Table27[[#This Row],[Actual Hours]]/Table27[[#This Row],[Max Billable Hours]]</calculatedColumnFormula>
      <totalsRowFormula>Table27[[#Totals],[Actual Hours]]/Table27[[#Totals],[Max Billable Hours]]</totalsRowFormula>
    </tableColumn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17" totalsRowShown="0">
  <autoFilter ref="B1:H17" xr:uid="{5A48ED94-4C1C-4B38-9DD4-B425B3066A80}"/>
  <tableColumns count="7">
    <tableColumn id="7" xr3:uid="{B318C1B5-DDBA-40C0-AEBF-DD0C8A713529}" name="Emp ID"/>
    <tableColumn id="1" xr3:uid="{61F66100-680B-43D4-9643-C6580DB98E19}" name="Name"/>
    <tableColumn id="2" xr3:uid="{1F30959A-FED7-4B38-99D5-577C9DC6ADAE}" name="Role as per SoW"/>
    <tableColumn id="3" xr3:uid="{A55B2A4F-0240-4914-A04B-C9F5FB352057}" name="Onboard date" dataDxfId="0"/>
    <tableColumn id="4" xr3:uid="{339185EB-1D1C-416C-A786-1371EE5CAED8}" name="Status"/>
    <tableColumn id="5" xr3:uid="{FD8EC05C-4379-49DC-8B99-679FAC8FE7DF}" name="LWD"/>
    <tableColumn id="6" xr3:uid="{A16E1008-E82E-4B63-9D13-91E4A58BEC57}" name="Billable Hours per da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7" totalsRowShown="0">
  <autoFilter ref="E1:E7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979-ED4F-4900-B38B-FEA01C46893E}">
  <dimension ref="D2:F7"/>
  <sheetViews>
    <sheetView workbookViewId="0">
      <selection activeCell="E34" sqref="E34"/>
    </sheetView>
  </sheetViews>
  <sheetFormatPr defaultColWidth="8.85546875" defaultRowHeight="14.45"/>
  <cols>
    <col min="5" max="5" width="38.140625" bestFit="1" customWidth="1"/>
  </cols>
  <sheetData>
    <row r="2" spans="4:6">
      <c r="D2" t="s">
        <v>0</v>
      </c>
    </row>
    <row r="4" spans="4:6">
      <c r="D4" s="9" t="s">
        <v>1</v>
      </c>
      <c r="E4" s="9"/>
      <c r="F4" s="9"/>
    </row>
    <row r="5" spans="4:6">
      <c r="D5" t="s">
        <v>2</v>
      </c>
      <c r="E5" t="s">
        <v>3</v>
      </c>
    </row>
    <row r="6" spans="4:6">
      <c r="D6" t="s">
        <v>4</v>
      </c>
      <c r="E6" t="s">
        <v>5</v>
      </c>
    </row>
    <row r="7" spans="4:6">
      <c r="D7" t="s">
        <v>6</v>
      </c>
      <c r="E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F21F-45DF-4822-809D-7911E0AE1032}">
  <dimension ref="B1:AR22"/>
  <sheetViews>
    <sheetView showGridLines="0" tabSelected="1" zoomScale="125" zoomScaleNormal="125" workbookViewId="0">
      <pane xSplit="11" ySplit="5" topLeftCell="L6" activePane="bottomRight" state="frozen"/>
      <selection pane="bottomRight" activeCell="B2" sqref="B2"/>
      <selection pane="bottomLeft" activeCell="A6" sqref="A6"/>
      <selection pane="topRight" activeCell="L1" sqref="L1"/>
    </sheetView>
  </sheetViews>
  <sheetFormatPr defaultColWidth="8.85546875" defaultRowHeight="14.45"/>
  <cols>
    <col min="1" max="1" width="1.42578125" customWidth="1"/>
    <col min="2" max="2" width="16.85546875" customWidth="1"/>
    <col min="3" max="3" width="10.140625" bestFit="1" customWidth="1"/>
    <col min="4" max="4" width="1.140625" customWidth="1"/>
    <col min="5" max="5" width="8.85546875" customWidth="1"/>
    <col min="6" max="6" width="12.85546875" customWidth="1"/>
    <col min="7" max="7" width="17" customWidth="1"/>
    <col min="8" max="8" width="6" customWidth="1"/>
    <col min="9" max="10" width="5.5703125" customWidth="1"/>
    <col min="11" max="11" width="8.42578125" bestFit="1" customWidth="1"/>
    <col min="12" max="37" width="6.42578125" customWidth="1"/>
    <col min="38" max="38" width="5.42578125" customWidth="1"/>
    <col min="39" max="39" width="6" customWidth="1"/>
    <col min="40" max="40" width="6.42578125" customWidth="1"/>
    <col min="41" max="41" width="5.85546875" customWidth="1"/>
    <col min="42" max="42" width="5.140625" hidden="1" customWidth="1"/>
    <col min="43" max="43" width="8.85546875" customWidth="1"/>
  </cols>
  <sheetData>
    <row r="1" spans="2:44">
      <c r="B1" s="4" t="s">
        <v>8</v>
      </c>
      <c r="C1" s="4" t="s">
        <v>9</v>
      </c>
      <c r="E1" s="4" t="s">
        <v>10</v>
      </c>
    </row>
    <row r="2" spans="2:44" ht="29.1">
      <c r="B2" s="5" t="s">
        <v>11</v>
      </c>
      <c r="C2" s="5">
        <v>2026</v>
      </c>
      <c r="E2" s="5" t="s">
        <v>12</v>
      </c>
      <c r="G2" s="1"/>
    </row>
    <row r="4" spans="2:44">
      <c r="J4" s="8"/>
      <c r="K4" s="8"/>
      <c r="L4" s="8" t="str">
        <f>UPPER(TEXT(DATE($C$2,VLOOKUP($B$2,Data!$B$2:$C$13,2,FALSE),Table27[[#Headers],[1]]),"DDD"))</f>
        <v>WED</v>
      </c>
      <c r="M4" s="8" t="str">
        <f>UPPER(TEXT(DATE($C$2,VLOOKUP($B$2,Data!$B$2:$C$13,2,FALSE),Table27[[#Headers],[2]]),"DDD"))</f>
        <v>THU</v>
      </c>
      <c r="N4" s="8" t="str">
        <f>UPPER(TEXT(DATE($C$2,VLOOKUP($B$2,Data!$B$2:$C$13,2,FALSE),Table27[[#Headers],[3]]),"DDD"))</f>
        <v>FRI</v>
      </c>
      <c r="O4" s="8" t="str">
        <f>UPPER(TEXT(DATE($C$2,VLOOKUP($B$2,Data!$B$2:$C$13,2,FALSE),Table27[[#Headers],[4]]),"DDD"))</f>
        <v>SAT</v>
      </c>
      <c r="P4" s="8" t="str">
        <f>UPPER(TEXT(DATE($C$2,VLOOKUP($B$2,Data!$B$2:$C$13,2,FALSE),Table27[[#Headers],[5]]),"DDD"))</f>
        <v>SUN</v>
      </c>
      <c r="Q4" s="8" t="str">
        <f>UPPER(TEXT(DATE($C$2,VLOOKUP($B$2,Data!$B$2:$C$13,2,FALSE),Table27[[#Headers],[6]]),"DDD"))</f>
        <v>MON</v>
      </c>
      <c r="R4" s="8" t="str">
        <f>UPPER(TEXT(DATE($C$2,VLOOKUP($B$2,Data!$B$2:$C$13,2,FALSE),Table27[[#Headers],[7]]),"DDD"))</f>
        <v>TUE</v>
      </c>
      <c r="S4" s="8" t="str">
        <f>UPPER(TEXT(DATE($C$2,VLOOKUP($B$2,Data!$B$2:$C$13,2,FALSE),Table27[[#Headers],[8]]),"DDD"))</f>
        <v>WED</v>
      </c>
      <c r="T4" s="8" t="str">
        <f>UPPER(TEXT(DATE($C$2,VLOOKUP($B$2,Data!$B$2:$C$13,2,FALSE),Table27[[#Headers],[9]]),"DDD"))</f>
        <v>THU</v>
      </c>
      <c r="U4" s="8" t="str">
        <f>UPPER(TEXT(DATE($C$2,VLOOKUP($B$2,Data!$B$2:$C$13,2,FALSE),Table27[[#Headers],[10]]),"DDD"))</f>
        <v>FRI</v>
      </c>
      <c r="V4" s="8" t="str">
        <f>UPPER(TEXT(DATE($C$2,VLOOKUP($B$2,Data!$B$2:$C$13,2,FALSE),Table27[[#Headers],[11]]),"DDD"))</f>
        <v>SAT</v>
      </c>
      <c r="W4" s="8" t="str">
        <f>UPPER(TEXT(DATE($C$2,VLOOKUP($B$2,Data!$B$2:$C$13,2,FALSE),Table27[[#Headers],[12]]),"DDD"))</f>
        <v>SUN</v>
      </c>
      <c r="X4" s="8" t="str">
        <f>UPPER(TEXT(DATE($C$2,VLOOKUP($B$2,Data!$B$2:$C$13,2,FALSE),Table27[[#Headers],[13]]),"DDD"))</f>
        <v>MON</v>
      </c>
      <c r="Y4" s="8" t="str">
        <f>UPPER(TEXT(DATE($C$2,VLOOKUP($B$2,Data!$B$2:$C$13,2,FALSE),Table27[[#Headers],[14]]),"DDD"))</f>
        <v>TUE</v>
      </c>
      <c r="Z4" s="8" t="str">
        <f>UPPER(TEXT(DATE($C$2,VLOOKUP($B$2,Data!$B$2:$C$13,2,FALSE),Table27[[#Headers],[15]]),"DDD"))</f>
        <v>WED</v>
      </c>
      <c r="AA4" s="8" t="str">
        <f>UPPER(TEXT(DATE($C$2,VLOOKUP($B$2,Data!$B$2:$C$13,2,FALSE),Table27[[#Headers],[16]]),"DDD"))</f>
        <v>THU</v>
      </c>
      <c r="AB4" s="8" t="str">
        <f>UPPER(TEXT(DATE($C$2,VLOOKUP($B$2,Data!$B$2:$C$13,2,FALSE),Table27[[#Headers],[17]]),"DDD"))</f>
        <v>FRI</v>
      </c>
      <c r="AC4" s="8" t="str">
        <f>UPPER(TEXT(DATE($C$2,VLOOKUP($B$2,Data!$B$2:$C$13,2,FALSE),Table27[[#Headers],[18]]),"DDD"))</f>
        <v>SAT</v>
      </c>
      <c r="AD4" s="8" t="str">
        <f>UPPER(TEXT(DATE($C$2,VLOOKUP($B$2,Data!$B$2:$C$13,2,FALSE),Table27[[#Headers],[19]]),"DDD"))</f>
        <v>SUN</v>
      </c>
      <c r="AE4" s="8" t="str">
        <f>UPPER(TEXT(DATE($C$2,VLOOKUP($B$2,Data!$B$2:$C$13,2,FALSE),Table27[[#Headers],[20]]),"DDD"))</f>
        <v>MON</v>
      </c>
      <c r="AF4" s="8" t="str">
        <f>UPPER(TEXT(DATE($C$2,VLOOKUP($B$2,Data!$B$2:$C$13,2,FALSE),Table27[[#Headers],[21]]),"DDD"))</f>
        <v>TUE</v>
      </c>
      <c r="AG4" s="8" t="str">
        <f>UPPER(TEXT(DATE($C$2,VLOOKUP($B$2,Data!$B$2:$C$13,2,FALSE),Table27[[#Headers],[22]]),"DDD"))</f>
        <v>WED</v>
      </c>
      <c r="AH4" s="8" t="str">
        <f>UPPER(TEXT(DATE($C$2,VLOOKUP($B$2,Data!$B$2:$C$13,2,FALSE),Table27[[#Headers],[23]]),"DDD"))</f>
        <v>THU</v>
      </c>
      <c r="AI4" s="8" t="str">
        <f>UPPER(TEXT(DATE($C$2,VLOOKUP($B$2,Data!$B$2:$C$13,2,FALSE),Table27[[#Headers],[24]]),"DDD"))</f>
        <v>FRI</v>
      </c>
      <c r="AJ4" s="8" t="str">
        <f>UPPER(TEXT(DATE($C$2,VLOOKUP($B$2,Data!$B$2:$C$13,2,FALSE),Table27[[#Headers],[25]]),"DDD"))</f>
        <v>SAT</v>
      </c>
      <c r="AK4" s="8" t="str">
        <f>UPPER(TEXT(DATE($C$2,VLOOKUP($B$2,Data!$B$2:$C$13,2,FALSE),Table27[[#Headers],[26]]),"DDD"))</f>
        <v>SUN</v>
      </c>
      <c r="AL4" s="8" t="str">
        <f>UPPER(TEXT(DATE($C$2,VLOOKUP($B$2,Data!$B$2:$C$13,2,FALSE),Table27[[#Headers],[27]]),"DDD"))</f>
        <v>MON</v>
      </c>
      <c r="AM4" s="8" t="str">
        <f>UPPER(TEXT(DATE($C$2,VLOOKUP($B$2,Data!$B$2:$C$13,2,FALSE),Table27[[#Headers],[28]]),"DDD"))</f>
        <v>TUE</v>
      </c>
      <c r="AN4" s="8" t="str">
        <f>UPPER(TEXT(DATE($C$2,VLOOKUP($B$2,Data!$B$2:$C$13,2,FALSE),Table27[[#Headers],[29]]),"DDD"))</f>
        <v>WED</v>
      </c>
      <c r="AO4" s="8" t="str">
        <f>UPPER(TEXT(DATE($C$2,VLOOKUP($B$2,Data!$B$2:$C$13,2,FALSE),Table27[[#Headers],[30]]),"DDD"))</f>
        <v>THU</v>
      </c>
      <c r="AP4" s="8" t="str">
        <f>UPPER(TEXT(DATE($C$2,_xlfn.XLOOKUP($B$2,Data!$B$2:$B$13,Data!$C$2:$C$13),Table27[[#Headers],[24]]),"DDD"))</f>
        <v>FRI</v>
      </c>
    </row>
    <row r="5" spans="2:44" ht="28.35" customHeight="1">
      <c r="B5" s="38" t="s">
        <v>13</v>
      </c>
      <c r="C5" s="38"/>
      <c r="E5" s="6" t="s">
        <v>14</v>
      </c>
      <c r="F5" s="6" t="s">
        <v>15</v>
      </c>
      <c r="G5" s="6" t="s">
        <v>16</v>
      </c>
      <c r="H5" s="12" t="s">
        <v>17</v>
      </c>
      <c r="I5" s="12" t="s">
        <v>18</v>
      </c>
      <c r="J5" s="12" t="s">
        <v>19</v>
      </c>
      <c r="K5" s="15" t="s">
        <v>20</v>
      </c>
      <c r="L5" s="13" t="s">
        <v>21</v>
      </c>
      <c r="M5" s="13" t="s">
        <v>22</v>
      </c>
      <c r="N5" s="13" t="s">
        <v>23</v>
      </c>
      <c r="O5" s="13" t="s">
        <v>24</v>
      </c>
      <c r="P5" s="13" t="s">
        <v>25</v>
      </c>
      <c r="Q5" s="13" t="s">
        <v>26</v>
      </c>
      <c r="R5" s="13" t="s">
        <v>27</v>
      </c>
      <c r="S5" s="13" t="s">
        <v>28</v>
      </c>
      <c r="T5" s="13" t="s">
        <v>29</v>
      </c>
      <c r="U5" s="13" t="s">
        <v>30</v>
      </c>
      <c r="V5" s="13" t="s">
        <v>31</v>
      </c>
      <c r="W5" s="13" t="s">
        <v>32</v>
      </c>
      <c r="X5" s="13" t="s">
        <v>33</v>
      </c>
      <c r="Y5" s="13" t="s">
        <v>34</v>
      </c>
      <c r="Z5" s="13" t="s">
        <v>35</v>
      </c>
      <c r="AA5" s="13" t="s">
        <v>36</v>
      </c>
      <c r="AB5" s="13" t="s">
        <v>37</v>
      </c>
      <c r="AC5" s="13" t="s">
        <v>38</v>
      </c>
      <c r="AD5" s="13" t="s">
        <v>39</v>
      </c>
      <c r="AE5" s="13" t="s">
        <v>40</v>
      </c>
      <c r="AF5" s="13" t="s">
        <v>41</v>
      </c>
      <c r="AG5" s="13" t="s">
        <v>42</v>
      </c>
      <c r="AH5" s="13" t="s">
        <v>43</v>
      </c>
      <c r="AI5" s="13" t="s">
        <v>44</v>
      </c>
      <c r="AJ5" s="13" t="s">
        <v>45</v>
      </c>
      <c r="AK5" s="13" t="s">
        <v>46</v>
      </c>
      <c r="AL5" s="13" t="s">
        <v>47</v>
      </c>
      <c r="AM5" s="13" t="s">
        <v>48</v>
      </c>
      <c r="AN5" s="13" t="s">
        <v>49</v>
      </c>
      <c r="AO5" s="13" t="s">
        <v>50</v>
      </c>
      <c r="AP5" s="13" t="s">
        <v>51</v>
      </c>
      <c r="AQ5" s="10" t="s">
        <v>52</v>
      </c>
      <c r="AR5" s="15" t="s">
        <v>53</v>
      </c>
    </row>
    <row r="6" spans="2:44" ht="28.5">
      <c r="B6" s="37">
        <f>SUM(Table27[Final Billing Amount])</f>
        <v>12320</v>
      </c>
      <c r="C6" s="37"/>
      <c r="E6" s="23" t="s">
        <v>54</v>
      </c>
      <c r="F6" s="11" t="str">
        <f>VLOOKUP(Table27[[#This Row],[Emp ID]],Table1[],3,FALSE)</f>
        <v>ML-NLP</v>
      </c>
      <c r="G6" s="2" t="str">
        <f>VLOOKUP(Table27[[#This Row],[Emp ID]],Table1[],2,FALSE)</f>
        <v>Rohit Nayal</v>
      </c>
      <c r="H6" s="2">
        <f>IF(Table27[[#This Row],[Status]]="Active",SUM(COUNT(Table27[[#This Row],[1]:[31]]), COUNTIF(Table27[[#This Row],[1]:[31]],"OFF"))*VLOOKUP(Table27[[#This Row],[Name]],Table1[[#All],[Name]:[Billable Hours per day]],6,FALSE),"")</f>
        <v>176</v>
      </c>
      <c r="I6" s="2">
        <f>IF(Table27[[#This Row],[Status]]="Active",SUM(Table27[[#This Row],[1]:[31]]),"")</f>
        <v>176</v>
      </c>
      <c r="J6" s="3">
        <v>35</v>
      </c>
      <c r="K6" s="14">
        <f>IFERROR(Table27[[#This Row],[Actual Hours]]*Table27[[#This Row],[Rate]],"")</f>
        <v>6160</v>
      </c>
      <c r="L6" s="27">
        <v>8</v>
      </c>
      <c r="M6" s="27">
        <v>8</v>
      </c>
      <c r="N6" s="27">
        <v>8</v>
      </c>
      <c r="O6" s="27" t="s">
        <v>2</v>
      </c>
      <c r="P6" s="27" t="s">
        <v>2</v>
      </c>
      <c r="Q6" s="27">
        <v>8</v>
      </c>
      <c r="R6" s="27">
        <v>8</v>
      </c>
      <c r="S6" s="27">
        <v>8</v>
      </c>
      <c r="T6" s="27">
        <v>8</v>
      </c>
      <c r="U6" s="27">
        <v>8</v>
      </c>
      <c r="V6" s="27" t="s">
        <v>2</v>
      </c>
      <c r="W6" s="27" t="s">
        <v>2</v>
      </c>
      <c r="X6" s="27">
        <v>8</v>
      </c>
      <c r="Y6" s="27">
        <v>8</v>
      </c>
      <c r="Z6" s="27">
        <v>8</v>
      </c>
      <c r="AA6" s="27">
        <v>8</v>
      </c>
      <c r="AB6" s="27">
        <v>8</v>
      </c>
      <c r="AC6" s="27" t="s">
        <v>2</v>
      </c>
      <c r="AD6" s="27" t="s">
        <v>2</v>
      </c>
      <c r="AE6" s="27">
        <v>8</v>
      </c>
      <c r="AF6" s="27">
        <v>8</v>
      </c>
      <c r="AG6" s="27">
        <v>8</v>
      </c>
      <c r="AH6" s="27">
        <v>8</v>
      </c>
      <c r="AI6" s="27">
        <v>8</v>
      </c>
      <c r="AJ6" s="27" t="s">
        <v>2</v>
      </c>
      <c r="AK6" s="27" t="s">
        <v>2</v>
      </c>
      <c r="AL6" s="27">
        <v>8</v>
      </c>
      <c r="AM6" s="27">
        <v>8</v>
      </c>
      <c r="AN6" s="27">
        <v>8</v>
      </c>
      <c r="AO6" s="27">
        <v>8</v>
      </c>
      <c r="AP6" s="27"/>
      <c r="AQ6" s="7" t="str">
        <f>_xlfn.IFNA(VLOOKUP(Table27[[#This Row],[Name]],Table1[[#All],[Name]:[Status]],4,FALSE),"")</f>
        <v>Active</v>
      </c>
      <c r="AR6" s="17">
        <f>Table27[[#This Row],[Actual Hours]]/Table27[[#This Row],[Max Billable Hours]]</f>
        <v>1</v>
      </c>
    </row>
    <row r="7" spans="2:44">
      <c r="B7" s="22"/>
      <c r="C7" s="22"/>
      <c r="E7" s="31" t="s">
        <v>55</v>
      </c>
      <c r="F7" s="11" t="str">
        <f>VLOOKUP(Table27[[#This Row],[Emp ID]],Table1[],3,FALSE)</f>
        <v>Backend Developer</v>
      </c>
      <c r="G7" s="2" t="str">
        <f>VLOOKUP(Table27[[#This Row],[Emp ID]],Table1[],2,FALSE)</f>
        <v>Chandeashekhar Jani</v>
      </c>
      <c r="H7" s="2">
        <f>IF(Table27[[#This Row],[Status]]="Active",SUM(COUNT(Table27[[#This Row],[1]:[31]]), COUNTIF(Table27[[#This Row],[1]:[31]],"OFF"))*VLOOKUP(Table27[[#This Row],[Name]],Table1[[#All],[Name]:[Billable Hours per day]],6,FALSE),"")</f>
        <v>176</v>
      </c>
      <c r="I7" s="2">
        <f>IF(Table27[[#This Row],[Status]]="Active",SUM(Table27[[#This Row],[1]:[31]]),"")</f>
        <v>176</v>
      </c>
      <c r="J7" s="3">
        <v>35</v>
      </c>
      <c r="K7" s="14">
        <f>IFERROR(Table27[[#This Row],[Actual Hours]]*Table27[[#This Row],[Rate]],"")</f>
        <v>6160</v>
      </c>
      <c r="L7" s="27">
        <v>8</v>
      </c>
      <c r="M7" s="27">
        <v>8</v>
      </c>
      <c r="N7" s="27">
        <v>8</v>
      </c>
      <c r="O7" s="27" t="s">
        <v>2</v>
      </c>
      <c r="P7" s="27" t="s">
        <v>2</v>
      </c>
      <c r="Q7" s="27">
        <v>8</v>
      </c>
      <c r="R7" s="27">
        <v>8</v>
      </c>
      <c r="S7" s="27">
        <v>8</v>
      </c>
      <c r="T7" s="27">
        <v>8</v>
      </c>
      <c r="U7" s="27">
        <v>8</v>
      </c>
      <c r="V7" s="27" t="s">
        <v>2</v>
      </c>
      <c r="W7" s="27" t="s">
        <v>2</v>
      </c>
      <c r="X7" s="27">
        <v>8</v>
      </c>
      <c r="Y7" s="27">
        <v>8</v>
      </c>
      <c r="Z7" s="27">
        <v>8</v>
      </c>
      <c r="AA7" s="27">
        <v>8</v>
      </c>
      <c r="AB7" s="27">
        <v>8</v>
      </c>
      <c r="AC7" s="27" t="s">
        <v>2</v>
      </c>
      <c r="AD7" s="27" t="s">
        <v>2</v>
      </c>
      <c r="AE7" s="27">
        <v>8</v>
      </c>
      <c r="AF7" s="27">
        <v>8</v>
      </c>
      <c r="AG7" s="27">
        <v>8</v>
      </c>
      <c r="AH7" s="27">
        <v>8</v>
      </c>
      <c r="AI7" s="27">
        <v>8</v>
      </c>
      <c r="AJ7" s="27" t="s">
        <v>2</v>
      </c>
      <c r="AK7" s="27" t="s">
        <v>2</v>
      </c>
      <c r="AL7" s="27">
        <v>8</v>
      </c>
      <c r="AM7" s="27">
        <v>8</v>
      </c>
      <c r="AN7" s="27">
        <v>8</v>
      </c>
      <c r="AO7" s="27">
        <v>8</v>
      </c>
      <c r="AP7" s="27"/>
      <c r="AQ7" s="7" t="str">
        <f>_xlfn.IFNA(VLOOKUP(Table27[[#This Row],[Name]],Table1[[#All],[Name]:[Status]],4,FALSE),"")</f>
        <v>Active</v>
      </c>
      <c r="AR7" s="17">
        <f>Table27[[#This Row],[Actual Hours]]/Table27[[#This Row],[Max Billable Hours]]</f>
        <v>1</v>
      </c>
    </row>
    <row r="8" spans="2:44">
      <c r="B8" s="19" t="s">
        <v>56</v>
      </c>
      <c r="C8" s="19"/>
      <c r="E8" s="10"/>
      <c r="F8" s="10"/>
      <c r="G8" s="2" t="s">
        <v>57</v>
      </c>
      <c r="H8" s="2">
        <f>SUBTOTAL(109,Table27[Max Billable Hours])</f>
        <v>352</v>
      </c>
      <c r="I8" s="2">
        <f>SUBTOTAL(109,Table27[Actual Hours])</f>
        <v>352</v>
      </c>
      <c r="J8" s="2"/>
      <c r="K8" s="16">
        <f>SUBTOTAL(109,Table27[Final Billing Amount])</f>
        <v>12320</v>
      </c>
      <c r="L8" s="10">
        <f>SUBTOTAL(109,Table27[1])</f>
        <v>16</v>
      </c>
      <c r="M8" s="10">
        <f>SUBTOTAL(109,Table27[2])</f>
        <v>16</v>
      </c>
      <c r="N8" s="10">
        <f>SUBTOTAL(109,Table27[3])</f>
        <v>16</v>
      </c>
      <c r="O8" s="10">
        <f>SUBTOTAL(109,Table27[4])</f>
        <v>0</v>
      </c>
      <c r="P8" s="10">
        <f>SUBTOTAL(109,Table27[5])</f>
        <v>0</v>
      </c>
      <c r="Q8" s="10">
        <f>SUBTOTAL(109,Table27[6])</f>
        <v>16</v>
      </c>
      <c r="R8" s="10">
        <f>SUBTOTAL(109,Table27[7])</f>
        <v>16</v>
      </c>
      <c r="S8" s="10">
        <f>SUBTOTAL(109,Table27[8])</f>
        <v>16</v>
      </c>
      <c r="T8" s="10">
        <f>SUBTOTAL(109,Table27[9])</f>
        <v>16</v>
      </c>
      <c r="U8" s="10">
        <f>SUBTOTAL(109,Table27[10])</f>
        <v>16</v>
      </c>
      <c r="V8" s="10">
        <f>SUBTOTAL(109,Table27[11])</f>
        <v>0</v>
      </c>
      <c r="W8" s="10">
        <f>SUBTOTAL(109,Table27[12])</f>
        <v>0</v>
      </c>
      <c r="X8" s="10">
        <f>SUBTOTAL(109,Table27[13])</f>
        <v>16</v>
      </c>
      <c r="Y8" s="10">
        <f>SUBTOTAL(109,Table27[14])</f>
        <v>16</v>
      </c>
      <c r="Z8" s="10">
        <f>SUBTOTAL(109,Table27[15])</f>
        <v>16</v>
      </c>
      <c r="AA8" s="10">
        <f>SUBTOTAL(109,Table27[16])</f>
        <v>16</v>
      </c>
      <c r="AB8" s="10">
        <f>SUBTOTAL(109,Table27[17])</f>
        <v>16</v>
      </c>
      <c r="AC8" s="10">
        <f>SUBTOTAL(109,Table27[18])</f>
        <v>0</v>
      </c>
      <c r="AD8" s="10">
        <f>SUBTOTAL(109,Table27[19])</f>
        <v>0</v>
      </c>
      <c r="AE8" s="10">
        <f>SUBTOTAL(109,Table27[20])</f>
        <v>16</v>
      </c>
      <c r="AF8" s="10">
        <f>SUBTOTAL(109,Table27[21])</f>
        <v>16</v>
      </c>
      <c r="AG8" s="10">
        <f>SUBTOTAL(109,Table27[22])</f>
        <v>16</v>
      </c>
      <c r="AH8" s="10">
        <f>SUBTOTAL(109,Table27[23])</f>
        <v>16</v>
      </c>
      <c r="AI8" s="10">
        <f>SUBTOTAL(109,Table27[24])</f>
        <v>16</v>
      </c>
      <c r="AJ8" s="10">
        <f>SUBTOTAL(109,Table27[25])</f>
        <v>0</v>
      </c>
      <c r="AK8" s="10">
        <f>SUBTOTAL(109,Table27[26])</f>
        <v>0</v>
      </c>
      <c r="AL8" s="10">
        <f>SUBTOTAL(109,Table27[27])</f>
        <v>16</v>
      </c>
      <c r="AM8" s="10">
        <f>SUBTOTAL(109,Table27[28])</f>
        <v>16</v>
      </c>
      <c r="AN8" s="10">
        <f>SUBTOTAL(109,Table27[29])</f>
        <v>16</v>
      </c>
      <c r="AO8" s="10">
        <f>SUBTOTAL(109,Table27[30])</f>
        <v>16</v>
      </c>
      <c r="AP8" s="10"/>
      <c r="AQ8" s="10"/>
      <c r="AR8" s="18">
        <f>Table27[[#Totals],[Actual Hours]]/Table27[[#Totals],[Max Billable Hours]]</f>
        <v>1</v>
      </c>
    </row>
    <row r="9" spans="2:44">
      <c r="B9" s="36">
        <f>SUM(Table27[Max Billable Hours])</f>
        <v>352</v>
      </c>
      <c r="C9" s="36"/>
    </row>
    <row r="10" spans="2:44">
      <c r="B10" s="36"/>
      <c r="C10" s="36"/>
    </row>
    <row r="12" spans="2:44">
      <c r="B12" s="39" t="s">
        <v>18</v>
      </c>
      <c r="C12" s="39"/>
    </row>
    <row r="13" spans="2:44">
      <c r="B13" s="35">
        <f>SUM(Table27[Actual Hours])</f>
        <v>352</v>
      </c>
      <c r="C13" s="35"/>
    </row>
    <row r="14" spans="2:44">
      <c r="B14" s="35"/>
      <c r="C14" s="35"/>
    </row>
    <row r="16" spans="2:44">
      <c r="B16" s="40" t="s">
        <v>58</v>
      </c>
      <c r="C16" s="40"/>
    </row>
    <row r="17" spans="2:3">
      <c r="B17" s="32">
        <f>SUM(Table27[Actual Hours])/SUM(Table27[Max Billable Hours])</f>
        <v>1</v>
      </c>
      <c r="C17" s="32"/>
    </row>
    <row r="18" spans="2:3">
      <c r="B18" s="32"/>
      <c r="C18" s="32"/>
    </row>
    <row r="20" spans="2:3">
      <c r="B20" s="41"/>
      <c r="C20" s="41"/>
    </row>
    <row r="21" spans="2:3">
      <c r="B21" s="33"/>
      <c r="C21" s="34"/>
    </row>
    <row r="22" spans="2:3">
      <c r="B22" s="34"/>
      <c r="C22" s="34"/>
    </row>
  </sheetData>
  <mergeCells count="9">
    <mergeCell ref="B17:C18"/>
    <mergeCell ref="B20:C20"/>
    <mergeCell ref="B21:C22"/>
    <mergeCell ref="B13:C14"/>
    <mergeCell ref="B5:C5"/>
    <mergeCell ref="B9:C10"/>
    <mergeCell ref="B12:C12"/>
    <mergeCell ref="B6:C6"/>
    <mergeCell ref="B16:C16"/>
  </mergeCells>
  <phoneticPr fontId="1" type="noConversion"/>
  <conditionalFormatting sqref="J4:AP4">
    <cfRule type="beginsWith" dxfId="123" priority="158" operator="beginsWith" text="S">
      <formula>LEFT(J4,LEN("S"))="S"</formula>
    </cfRule>
  </conditionalFormatting>
  <conditionalFormatting sqref="L6:AO7 AO7:AQ7">
    <cfRule type="beginsWith" dxfId="122" priority="151" operator="beginsWith" text="H">
      <formula>LEFT(L6,LEN("H"))="H"</formula>
    </cfRule>
  </conditionalFormatting>
  <conditionalFormatting sqref="L6:AQ8">
    <cfRule type="containsText" dxfId="121" priority="157" operator="containsText" text="WO">
      <formula>NOT(ISERROR(SEARCH("WO",L6)))</formula>
    </cfRule>
    <cfRule type="containsText" dxfId="120" priority="156" operator="containsText" text="OF">
      <formula>NOT(ISERROR(SEARCH("OF",L6)))</formula>
    </cfRule>
  </conditionalFormatting>
  <conditionalFormatting sqref="N7:Q7 AB7:AC7">
    <cfRule type="containsText" dxfId="119" priority="152" operator="containsText" text="OF">
      <formula>NOT(ISERROR(SEARCH("OF",N7)))</formula>
    </cfRule>
    <cfRule type="containsText" dxfId="118" priority="153" operator="containsText" text="WO">
      <formula>NOT(ISERROR(SEARCH("WO",N7)))</formula>
    </cfRule>
  </conditionalFormatting>
  <conditionalFormatting sqref="AB7:AC7">
    <cfRule type="beginsWith" dxfId="117" priority="58" operator="beginsWith" text="H">
      <formula>LEFT(AB7,LEN("H"))="H"</formula>
    </cfRule>
    <cfRule type="containsText" dxfId="116" priority="59" operator="containsText" text="OF">
      <formula>NOT(ISERROR(SEARCH("OF",AB7)))</formula>
    </cfRule>
    <cfRule type="containsText" dxfId="115" priority="60" operator="containsText" text="WO">
      <formula>NOT(ISERROR(SEARCH("WO",AB7)))</formula>
    </cfRule>
  </conditionalFormatting>
  <conditionalFormatting sqref="AK6:AK7">
    <cfRule type="beginsWith" dxfId="114" priority="37" operator="beginsWith" text="H">
      <formula>LEFT(AK6,LEN("H"))="H"</formula>
    </cfRule>
    <cfRule type="containsText" dxfId="113" priority="38" operator="containsText" text="OF">
      <formula>NOT(ISERROR(SEARCH("OF",AK6)))</formula>
    </cfRule>
    <cfRule type="containsText" dxfId="112" priority="39" operator="containsText" text="WO">
      <formula>NOT(ISERROR(SEARCH("WO",AK6)))</formula>
    </cfRule>
    <cfRule type="beginsWith" dxfId="111" priority="46" operator="beginsWith" text="H">
      <formula>LEFT(AK6,LEN("H"))="H"</formula>
    </cfRule>
    <cfRule type="containsText" dxfId="110" priority="48" operator="containsText" text="WO">
      <formula>NOT(ISERROR(SEARCH("WO",AK6)))</formula>
    </cfRule>
    <cfRule type="containsText" dxfId="109" priority="47" operator="containsText" text="OF">
      <formula>NOT(ISERROR(SEARCH("OF",AK6)))</formula>
    </cfRule>
  </conditionalFormatting>
  <conditionalFormatting sqref="AK7">
    <cfRule type="beginsWith" dxfId="108" priority="61" operator="beginsWith" text="H">
      <formula>LEFT(AK7,LEN("H"))="H"</formula>
    </cfRule>
    <cfRule type="containsText" dxfId="107" priority="62" operator="containsText" text="OF">
      <formula>NOT(ISERROR(SEARCH("OF",AK7)))</formula>
    </cfRule>
    <cfRule type="containsText" dxfId="106" priority="63" operator="containsText" text="WO">
      <formula>NOT(ISERROR(SEARCH("WO",AK7)))</formula>
    </cfRule>
    <cfRule type="beginsWith" dxfId="105" priority="79" operator="beginsWith" text="H">
      <formula>LEFT(AK7,LEN("H"))="H"</formula>
    </cfRule>
    <cfRule type="containsText" dxfId="104" priority="80" operator="containsText" text="OF">
      <formula>NOT(ISERROR(SEARCH("OF",AK7)))</formula>
    </cfRule>
    <cfRule type="containsText" dxfId="103" priority="81" operator="containsText" text="WO">
      <formula>NOT(ISERROR(SEARCH("WO",AK7)))</formula>
    </cfRule>
    <cfRule type="beginsWith" dxfId="102" priority="106" operator="beginsWith" text="H">
      <formula>LEFT(AK7,LEN("H"))="H"</formula>
    </cfRule>
    <cfRule type="containsText" dxfId="101" priority="107" operator="containsText" text="OF">
      <formula>NOT(ISERROR(SEARCH("OF",AK7)))</formula>
    </cfRule>
    <cfRule type="containsText" dxfId="100" priority="108" operator="containsText" text="WO">
      <formula>NOT(ISERROR(SEARCH("WO",AK7)))</formula>
    </cfRule>
    <cfRule type="containsText" dxfId="99" priority="57" operator="containsText" text="WO">
      <formula>NOT(ISERROR(SEARCH("WO",AK7)))</formula>
    </cfRule>
    <cfRule type="containsText" dxfId="98" priority="56" operator="containsText" text="OF">
      <formula>NOT(ISERROR(SEARCH("OF",AK7)))</formula>
    </cfRule>
    <cfRule type="beginsWith" dxfId="97" priority="55" operator="beginsWith" text="H">
      <formula>LEFT(AK7,LEN("H"))="H"</formula>
    </cfRule>
  </conditionalFormatting>
  <conditionalFormatting sqref="AL6">
    <cfRule type="containsText" dxfId="96" priority="5" operator="containsText" text="OF">
      <formula>NOT(ISERROR(SEARCH("OF",AL6)))</formula>
    </cfRule>
    <cfRule type="containsText" dxfId="95" priority="6" operator="containsText" text="WO">
      <formula>NOT(ISERROR(SEARCH("WO",AL6)))</formula>
    </cfRule>
  </conditionalFormatting>
  <conditionalFormatting sqref="AL6:AL7">
    <cfRule type="beginsWith" dxfId="94" priority="4" operator="beginsWith" text="H">
      <formula>LEFT(AL6,LEN("H"))="H"</formula>
    </cfRule>
  </conditionalFormatting>
  <conditionalFormatting sqref="AM6:AM7">
    <cfRule type="beginsWith" dxfId="93" priority="3" operator="beginsWith" text="H">
      <formula>LEFT(AM6,LEN("H"))="H"</formula>
    </cfRule>
  </conditionalFormatting>
  <conditionalFormatting sqref="AM6:AN7">
    <cfRule type="beginsWith" dxfId="92" priority="2" operator="beginsWith" text="H">
      <formula>LEFT(AM6,LEN("H"))="H"</formula>
    </cfRule>
  </conditionalFormatting>
  <conditionalFormatting sqref="AN6:AQ6 W6:X6 AA6:AE6 AN7:AO7 L8:AQ8">
    <cfRule type="beginsWith" dxfId="91" priority="155" operator="beginsWith" text="H">
      <formula>LEFT(L6,LEN("H"))="H"</formula>
    </cfRule>
  </conditionalFormatting>
  <conditionalFormatting sqref="AO6">
    <cfRule type="beginsWith" dxfId="90" priority="103" operator="beginsWith" text="H">
      <formula>LEFT(AO6,LEN("H"))="H"</formula>
    </cfRule>
    <cfRule type="containsText" dxfId="89" priority="104" operator="containsText" text="OF">
      <formula>NOT(ISERROR(SEARCH("OF",AO6)))</formula>
    </cfRule>
    <cfRule type="containsText" dxfId="88" priority="105" operator="containsText" text="WO">
      <formula>NOT(ISERROR(SEARCH("WO",AO6)))</formula>
    </cfRule>
  </conditionalFormatting>
  <conditionalFormatting sqref="AO6:AP6">
    <cfRule type="beginsWith" dxfId="87" priority="1" operator="beginsWith" text="H">
      <formula>LEFT(AO6,LEN("H"))="H"</formula>
    </cfRule>
  </conditionalFormatting>
  <conditionalFormatting sqref="AP6:AP7">
    <cfRule type="beginsWith" dxfId="86" priority="19" operator="beginsWith" text="H">
      <formula>LEFT(AP6,LEN("H"))="H"</formula>
    </cfRule>
  </conditionalFormatting>
  <conditionalFormatting sqref="AP7">
    <cfRule type="containsText" dxfId="85" priority="20" operator="containsText" text="OF">
      <formula>NOT(ISERROR(SEARCH("OF",AP7)))</formula>
    </cfRule>
    <cfRule type="containsText" dxfId="84" priority="21" operator="containsText" text="WO">
      <formula>NOT(ISERROR(SEARCH("WO",AP7)))</formula>
    </cfRule>
  </conditionalFormatting>
  <dataValidations count="3">
    <dataValidation type="list" allowBlank="1" showInputMessage="1" showErrorMessage="1" sqref="C2" xr:uid="{2318C012-0F3F-44AC-B2B3-6AEC93739251}">
      <formula1>Year</formula1>
    </dataValidation>
    <dataValidation type="list" allowBlank="1" showInputMessage="1" showErrorMessage="1" sqref="B2" xr:uid="{019C5D70-A809-4316-8BE2-86F0403691D5}">
      <formula1>Month</formula1>
    </dataValidation>
    <dataValidation type="decimal" allowBlank="1" showInputMessage="1" showErrorMessage="1" error="Cell must contain a decimal value" sqref="J6:J7" xr:uid="{E290CCE4-4575-4A56-BADD-4C914D40B903}">
      <formula1>0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17"/>
  <sheetViews>
    <sheetView zoomScale="150" workbookViewId="0">
      <selection activeCell="B12" sqref="B12"/>
    </sheetView>
  </sheetViews>
  <sheetFormatPr defaultColWidth="8.85546875" defaultRowHeight="14.45"/>
  <cols>
    <col min="2" max="2" width="15.5703125" customWidth="1"/>
    <col min="3" max="3" width="24.140625" bestFit="1" customWidth="1"/>
    <col min="4" max="4" width="29.42578125" bestFit="1" customWidth="1"/>
    <col min="5" max="5" width="15.140625" bestFit="1" customWidth="1"/>
    <col min="6" max="6" width="8.42578125" bestFit="1" customWidth="1"/>
    <col min="7" max="7" width="7.140625" bestFit="1" customWidth="1"/>
    <col min="8" max="8" width="22.140625" bestFit="1" customWidth="1"/>
  </cols>
  <sheetData>
    <row r="1" spans="2:8">
      <c r="B1" t="s">
        <v>14</v>
      </c>
      <c r="C1" t="s">
        <v>16</v>
      </c>
      <c r="D1" t="s">
        <v>15</v>
      </c>
      <c r="E1" t="s">
        <v>59</v>
      </c>
      <c r="F1" t="s">
        <v>52</v>
      </c>
      <c r="G1" t="s">
        <v>60</v>
      </c>
      <c r="H1" t="s">
        <v>61</v>
      </c>
    </row>
    <row r="2" spans="2:8">
      <c r="B2" s="23" t="s">
        <v>54</v>
      </c>
      <c r="C2" s="20" t="s">
        <v>62</v>
      </c>
      <c r="D2" s="20" t="s">
        <v>63</v>
      </c>
      <c r="E2" s="1"/>
      <c r="F2" t="s">
        <v>64</v>
      </c>
      <c r="H2">
        <v>8</v>
      </c>
    </row>
    <row r="3" spans="2:8">
      <c r="B3" s="23">
        <v>4378</v>
      </c>
      <c r="C3" s="20" t="s">
        <v>65</v>
      </c>
      <c r="D3" s="20" t="s">
        <v>66</v>
      </c>
      <c r="E3" s="1"/>
      <c r="F3" t="s">
        <v>64</v>
      </c>
      <c r="H3">
        <v>8</v>
      </c>
    </row>
    <row r="4" spans="2:8">
      <c r="B4" s="23">
        <v>4217</v>
      </c>
      <c r="C4" s="20" t="s">
        <v>67</v>
      </c>
      <c r="D4" s="20" t="s">
        <v>68</v>
      </c>
      <c r="E4" s="1"/>
      <c r="F4" t="s">
        <v>64</v>
      </c>
      <c r="H4">
        <v>8</v>
      </c>
    </row>
    <row r="5" spans="2:8">
      <c r="B5" s="24" t="s">
        <v>69</v>
      </c>
      <c r="C5" s="21" t="s">
        <v>70</v>
      </c>
      <c r="D5" t="s">
        <v>71</v>
      </c>
      <c r="E5" s="1"/>
      <c r="F5" t="s">
        <v>64</v>
      </c>
      <c r="H5">
        <v>8</v>
      </c>
    </row>
    <row r="6" spans="2:8">
      <c r="B6" s="24">
        <v>5883</v>
      </c>
      <c r="C6" s="21" t="s">
        <v>72</v>
      </c>
      <c r="D6" t="s">
        <v>73</v>
      </c>
      <c r="E6" s="1"/>
      <c r="F6" t="s">
        <v>64</v>
      </c>
      <c r="H6">
        <v>8</v>
      </c>
    </row>
    <row r="7" spans="2:8">
      <c r="B7" s="24">
        <v>3476</v>
      </c>
      <c r="C7" s="21" t="s">
        <v>74</v>
      </c>
      <c r="D7" t="s">
        <v>73</v>
      </c>
      <c r="E7" s="1"/>
      <c r="F7" t="s">
        <v>64</v>
      </c>
      <c r="H7">
        <v>8</v>
      </c>
    </row>
    <row r="8" spans="2:8">
      <c r="B8" s="25" t="s">
        <v>75</v>
      </c>
      <c r="C8" s="20" t="s">
        <v>76</v>
      </c>
      <c r="D8" s="20" t="s">
        <v>71</v>
      </c>
      <c r="E8" s="1"/>
      <c r="F8" t="s">
        <v>64</v>
      </c>
      <c r="H8">
        <v>8</v>
      </c>
    </row>
    <row r="9" spans="2:8">
      <c r="B9" s="26" t="s">
        <v>77</v>
      </c>
      <c r="C9" t="s">
        <v>78</v>
      </c>
      <c r="D9" t="s">
        <v>68</v>
      </c>
      <c r="E9" s="1"/>
      <c r="F9" t="s">
        <v>64</v>
      </c>
      <c r="H9">
        <v>8</v>
      </c>
    </row>
    <row r="10" spans="2:8">
      <c r="B10" s="25">
        <v>2325</v>
      </c>
      <c r="C10" t="s">
        <v>79</v>
      </c>
      <c r="D10" t="s">
        <v>73</v>
      </c>
      <c r="E10" s="1"/>
      <c r="F10" t="s">
        <v>64</v>
      </c>
      <c r="H10">
        <v>8</v>
      </c>
    </row>
    <row r="11" spans="2:8">
      <c r="B11" s="20" t="s">
        <v>80</v>
      </c>
      <c r="C11" t="s">
        <v>81</v>
      </c>
      <c r="D11" t="s">
        <v>82</v>
      </c>
      <c r="E11" s="1"/>
      <c r="F11" t="s">
        <v>64</v>
      </c>
      <c r="H11">
        <v>8</v>
      </c>
    </row>
    <row r="12" spans="2:8">
      <c r="B12" s="28" t="s">
        <v>55</v>
      </c>
      <c r="C12" s="29" t="s">
        <v>83</v>
      </c>
      <c r="D12" s="30" t="s">
        <v>71</v>
      </c>
      <c r="E12" s="1"/>
      <c r="F12" t="s">
        <v>64</v>
      </c>
      <c r="H12">
        <v>8</v>
      </c>
    </row>
    <row r="13" spans="2:8">
      <c r="E13" s="1"/>
    </row>
    <row r="14" spans="2:8">
      <c r="E14" s="1"/>
    </row>
    <row r="15" spans="2:8">
      <c r="E15" s="1"/>
    </row>
    <row r="16" spans="2:8">
      <c r="E16" s="1"/>
    </row>
    <row r="17" spans="5:5">
      <c r="E17" s="1"/>
    </row>
  </sheetData>
  <conditionalFormatting sqref="D5:D7 D9:D11 D13:D17">
    <cfRule type="expression" dxfId="1" priority="3">
      <formula>LEFT(#REF!,1)="S"</formula>
    </cfRule>
  </conditionalFormatting>
  <dataValidations count="1">
    <dataValidation type="list" allowBlank="1" showInputMessage="1" showErrorMessage="1" sqref="F2:F17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E7" sqref="E7"/>
    </sheetView>
  </sheetViews>
  <sheetFormatPr defaultColWidth="8.85546875" defaultRowHeight="14.45"/>
  <cols>
    <col min="2" max="2" width="10.85546875" bestFit="1" customWidth="1"/>
    <col min="3" max="3" width="10.85546875" customWidth="1"/>
  </cols>
  <sheetData>
    <row r="1" spans="2:5">
      <c r="B1" t="s">
        <v>84</v>
      </c>
      <c r="C1" t="s">
        <v>85</v>
      </c>
      <c r="E1" t="s">
        <v>86</v>
      </c>
    </row>
    <row r="2" spans="2:5">
      <c r="B2" t="s">
        <v>87</v>
      </c>
      <c r="C2">
        <v>1</v>
      </c>
      <c r="E2">
        <v>2021</v>
      </c>
    </row>
    <row r="3" spans="2:5">
      <c r="B3" t="s">
        <v>88</v>
      </c>
      <c r="C3">
        <v>2</v>
      </c>
      <c r="E3">
        <v>2022</v>
      </c>
    </row>
    <row r="4" spans="2:5">
      <c r="B4" t="s">
        <v>89</v>
      </c>
      <c r="C4">
        <v>3</v>
      </c>
      <c r="E4">
        <v>2023</v>
      </c>
    </row>
    <row r="5" spans="2:5">
      <c r="B5" t="s">
        <v>11</v>
      </c>
      <c r="C5">
        <v>4</v>
      </c>
      <c r="E5">
        <v>2024</v>
      </c>
    </row>
    <row r="6" spans="2:5">
      <c r="B6" t="s">
        <v>90</v>
      </c>
      <c r="C6">
        <v>5</v>
      </c>
      <c r="E6">
        <v>2025</v>
      </c>
    </row>
    <row r="7" spans="2:5">
      <c r="B7" t="s">
        <v>91</v>
      </c>
      <c r="C7">
        <v>6</v>
      </c>
      <c r="E7">
        <v>2026</v>
      </c>
    </row>
    <row r="8" spans="2:5">
      <c r="B8" t="s">
        <v>92</v>
      </c>
      <c r="C8">
        <v>7</v>
      </c>
    </row>
    <row r="9" spans="2:5">
      <c r="B9" t="s">
        <v>93</v>
      </c>
      <c r="C9">
        <v>8</v>
      </c>
    </row>
    <row r="10" spans="2:5">
      <c r="B10" t="s">
        <v>94</v>
      </c>
      <c r="C10">
        <v>9</v>
      </c>
    </row>
    <row r="11" spans="2:5">
      <c r="B11" t="s">
        <v>95</v>
      </c>
      <c r="C11">
        <v>10</v>
      </c>
    </row>
    <row r="12" spans="2:5">
      <c r="B12" t="s">
        <v>96</v>
      </c>
      <c r="C12">
        <v>11</v>
      </c>
    </row>
    <row r="13" spans="2:5">
      <c r="B13" t="s">
        <v>97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Avinash Singh</dc:creator>
  <cp:keywords/>
  <dc:description/>
  <cp:lastModifiedBy>Sudheer Vajrapu</cp:lastModifiedBy>
  <cp:revision/>
  <dcterms:created xsi:type="dcterms:W3CDTF">2021-07-29T07:17:28Z</dcterms:created>
  <dcterms:modified xsi:type="dcterms:W3CDTF">2026-05-12T12:45:45Z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a9ba5a-04bf-48bc-bbac-e0a79bda9f06_Enabled">
    <vt:lpwstr>true</vt:lpwstr>
  </property>
  <property fmtid="{D5CDD505-2E9C-101B-9397-08002B2CF9AE}" pid="3" name="MSIP_Label_c2a9ba5a-04bf-48bc-bbac-e0a79bda9f06_SetDate">
    <vt:lpwstr>2025-05-30T06:02:58Z</vt:lpwstr>
  </property>
  <property fmtid="{D5CDD505-2E9C-101B-9397-08002B2CF9AE}" pid="4" name="MSIP_Label_c2a9ba5a-04bf-48bc-bbac-e0a79bda9f06_Method">
    <vt:lpwstr>Standard</vt:lpwstr>
  </property>
  <property fmtid="{D5CDD505-2E9C-101B-9397-08002B2CF9AE}" pid="5" name="MSIP_Label_c2a9ba5a-04bf-48bc-bbac-e0a79bda9f06_Name">
    <vt:lpwstr>c2a9ba5a-04bf-48bc-bbac-e0a79bda9f06</vt:lpwstr>
  </property>
  <property fmtid="{D5CDD505-2E9C-101B-9397-08002B2CF9AE}" pid="6" name="MSIP_Label_c2a9ba5a-04bf-48bc-bbac-e0a79bda9f06_SiteId">
    <vt:lpwstr>5a50bdd9-5b35-4c1f-a977-f078974e6d10</vt:lpwstr>
  </property>
  <property fmtid="{D5CDD505-2E9C-101B-9397-08002B2CF9AE}" pid="7" name="MSIP_Label_c2a9ba5a-04bf-48bc-bbac-e0a79bda9f06_ActionId">
    <vt:lpwstr>d66f8489-6faa-476d-bd18-5a0c0084cfe0</vt:lpwstr>
  </property>
  <property fmtid="{D5CDD505-2E9C-101B-9397-08002B2CF9AE}" pid="8" name="MSIP_Label_c2a9ba5a-04bf-48bc-bbac-e0a79bda9f06_ContentBits">
    <vt:lpwstr>0</vt:lpwstr>
  </property>
</Properties>
</file>