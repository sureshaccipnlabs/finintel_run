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7AD88B9D-16DC-FC47-85B6-F49ADA956BD6}" xr6:coauthVersionLast="47" xr6:coauthVersionMax="47" xr10:uidLastSave="{00000000-0000-0000-0000-000000000000}"/>
  <bookViews>
    <workbookView xWindow="0" yWindow="760" windowWidth="34560" windowHeight="2028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1" i="5" l="1"/>
  <c r="L4" i="5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<sst xmlns="http://schemas.openxmlformats.org/spreadsheetml/2006/main" count="341" uniqueCount="135">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</sst>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9" fillId="0" borderId="0" xfId="0" applyFont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Label="0" dataDxfId="40" totalsRowDxfId="39"/>
    <tableColumn id="24" xr3:uid="{748261B7-3B42-48B0-B56D-6066930E4F45}" name="19" totalsRowLabel="0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totalsRowFunction="custom" dataDxfId="14" totalsRowDxfId="13">
      <totalsRowFormula>SUBTOTAL(109,Table27[30])</totalsRowFormula>
    </tableColumn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AA6555F4-48A2-6048-A814-374CC22EFD22}" name="cost_rate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83" zoomScaleNormal="125" workbookViewId="0">
      <pane xSplit="11" ySplit="5" topLeftCell="AE6" activePane="bottomRight" state="frozen"/>
      <selection pane="topRight" activeCell="L1" sqref="L1"/>
      <selection pane="bottomLeft" activeCell="A6" sqref="A6"/>
      <selection pane="bottomRight" activeCell="C3" sqref="C3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15</v>
      </c>
      <c r="C2" s="5">
        <v>2025</v>
      </c>
      <c r="E2" s="5" t="s">
        <v>132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5" ht="28.25" customHeight="1" x14ac:dyDescent="0.2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134</v>
      </c>
    </row>
    <row r="6" spans="2:45" ht="39" customHeight="1" x14ac:dyDescent="0.35">
      <c r="B6" s="34">
        <f>SUM(Table27[Final Billing Amount])</f>
        <v>47584</v>
      </c>
      <c r="C6" s="35"/>
      <c r="E6" s="20" t="s">
        <v>88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6" s="2">
        <f>IF(Table27[[#This Row],[Status]]="Active",SUM(Table27[[#This Row],[1]:[31]]),"")</f>
        <v>160</v>
      </c>
      <c r="J6" s="3">
        <v>30</v>
      </c>
      <c r="K6" s="14">
        <f>IFERROR(Table27[[#This Row],[Actual Hours]]*Table27[[#This Row],[Rate]],"")</f>
        <v>4800</v>
      </c>
      <c r="L6" s="7" t="s">
        <v>59</v>
      </c>
      <c r="M6" s="7" t="s">
        <v>59</v>
      </c>
      <c r="N6" s="7">
        <v>8</v>
      </c>
      <c r="O6" s="7">
        <v>8</v>
      </c>
      <c r="P6" s="7">
        <v>8</v>
      </c>
      <c r="Q6" s="7">
        <v>8</v>
      </c>
      <c r="R6" s="7">
        <v>8</v>
      </c>
      <c r="S6" s="7" t="s">
        <v>59</v>
      </c>
      <c r="T6" s="7" t="s">
        <v>59</v>
      </c>
      <c r="U6" s="7">
        <v>8</v>
      </c>
      <c r="V6" s="7">
        <v>8</v>
      </c>
      <c r="W6" s="7">
        <v>8</v>
      </c>
      <c r="X6" s="7">
        <v>8</v>
      </c>
      <c r="Y6" s="25">
        <v>8</v>
      </c>
      <c r="Z6" s="25" t="s">
        <v>59</v>
      </c>
      <c r="AA6" s="7" t="s">
        <v>59</v>
      </c>
      <c r="AB6" s="7">
        <v>8</v>
      </c>
      <c r="AC6" s="7">
        <v>8</v>
      </c>
      <c r="AD6" s="7">
        <v>8</v>
      </c>
      <c r="AE6" s="7">
        <v>8</v>
      </c>
      <c r="AF6" s="25">
        <v>8</v>
      </c>
      <c r="AG6" s="25" t="s">
        <v>59</v>
      </c>
      <c r="AH6" s="7" t="s">
        <v>59</v>
      </c>
      <c r="AI6" s="7">
        <v>8</v>
      </c>
      <c r="AJ6" s="7">
        <v>8</v>
      </c>
      <c r="AK6" s="7">
        <v>8</v>
      </c>
      <c r="AL6" s="7">
        <v>8</v>
      </c>
      <c r="AM6" s="25">
        <v>8</v>
      </c>
      <c r="AN6" s="25" t="s">
        <v>59</v>
      </c>
      <c r="AO6" s="7" t="s">
        <v>59</v>
      </c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6">
        <v>20</v>
      </c>
    </row>
    <row r="7" spans="2:45" x14ac:dyDescent="0.2">
      <c r="B7" s="36" t="s">
        <v>56</v>
      </c>
      <c r="C7" s="36"/>
      <c r="E7" s="20" t="s">
        <v>89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 t="s">
        <v>59</v>
      </c>
      <c r="M7" s="7" t="s">
        <v>59</v>
      </c>
      <c r="N7" s="7">
        <v>8</v>
      </c>
      <c r="O7" s="7">
        <v>8</v>
      </c>
      <c r="P7" s="7">
        <v>8</v>
      </c>
      <c r="Q7" s="7">
        <v>8</v>
      </c>
      <c r="R7" s="7">
        <v>8</v>
      </c>
      <c r="S7" s="7" t="s">
        <v>59</v>
      </c>
      <c r="T7" s="7" t="s">
        <v>59</v>
      </c>
      <c r="U7" s="7">
        <v>8</v>
      </c>
      <c r="V7" s="7">
        <v>8</v>
      </c>
      <c r="W7" s="7">
        <v>8</v>
      </c>
      <c r="X7" s="7">
        <v>8</v>
      </c>
      <c r="Y7" s="25">
        <v>8</v>
      </c>
      <c r="Z7" s="25" t="s">
        <v>59</v>
      </c>
      <c r="AA7" s="7" t="s">
        <v>59</v>
      </c>
      <c r="AB7" s="7">
        <v>8</v>
      </c>
      <c r="AC7" s="7">
        <v>8</v>
      </c>
      <c r="AD7" s="7">
        <v>8</v>
      </c>
      <c r="AE7" s="7">
        <v>8</v>
      </c>
      <c r="AF7" s="25">
        <v>8</v>
      </c>
      <c r="AG7" s="25" t="s">
        <v>59</v>
      </c>
      <c r="AH7" s="7" t="s">
        <v>59</v>
      </c>
      <c r="AI7" s="7">
        <v>8</v>
      </c>
      <c r="AJ7" s="7">
        <v>8</v>
      </c>
      <c r="AK7" s="7">
        <v>8</v>
      </c>
      <c r="AL7" s="7">
        <v>8</v>
      </c>
      <c r="AM7" s="25">
        <v>8</v>
      </c>
      <c r="AN7" s="25" t="s">
        <v>59</v>
      </c>
      <c r="AO7" s="7" t="s">
        <v>59</v>
      </c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  <c r="AS7" s="26">
        <v>20</v>
      </c>
    </row>
    <row r="8" spans="2:45" x14ac:dyDescent="0.2">
      <c r="B8" s="19"/>
      <c r="C8" s="19"/>
      <c r="E8" s="20" t="s">
        <v>90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8" s="2">
        <f>IF(Table27[[#This Row],[Status]]="Active",SUM(Table27[[#This Row],[1]:[31]]),"")</f>
        <v>160</v>
      </c>
      <c r="J8" s="3">
        <v>34</v>
      </c>
      <c r="K8" s="14">
        <f>IFERROR(Table27[[#This Row],[Actual Hours]]*Table27[[#This Row],[Rate]],"")</f>
        <v>5440</v>
      </c>
      <c r="L8" s="7" t="s">
        <v>59</v>
      </c>
      <c r="M8" s="7" t="s">
        <v>59</v>
      </c>
      <c r="N8" s="7">
        <v>8</v>
      </c>
      <c r="O8" s="7">
        <v>8</v>
      </c>
      <c r="P8" s="7">
        <v>8</v>
      </c>
      <c r="Q8" s="7">
        <v>8</v>
      </c>
      <c r="R8" s="7">
        <v>8</v>
      </c>
      <c r="S8" s="7" t="s">
        <v>59</v>
      </c>
      <c r="T8" s="7" t="s">
        <v>59</v>
      </c>
      <c r="U8" s="7">
        <v>8</v>
      </c>
      <c r="V8" s="7">
        <v>8</v>
      </c>
      <c r="W8" s="7">
        <v>8</v>
      </c>
      <c r="X8" s="7">
        <v>8</v>
      </c>
      <c r="Y8" s="25">
        <v>8</v>
      </c>
      <c r="Z8" s="25" t="s">
        <v>59</v>
      </c>
      <c r="AA8" s="7" t="s">
        <v>59</v>
      </c>
      <c r="AB8" s="7">
        <v>8</v>
      </c>
      <c r="AC8" s="7">
        <v>8</v>
      </c>
      <c r="AD8" s="7">
        <v>8</v>
      </c>
      <c r="AE8" s="7">
        <v>8</v>
      </c>
      <c r="AF8" s="25">
        <v>8</v>
      </c>
      <c r="AG8" s="25" t="s">
        <v>59</v>
      </c>
      <c r="AH8" s="7" t="s">
        <v>59</v>
      </c>
      <c r="AI8" s="7">
        <v>8</v>
      </c>
      <c r="AJ8" s="7">
        <v>8</v>
      </c>
      <c r="AK8" s="7">
        <v>8</v>
      </c>
      <c r="AL8" s="7">
        <v>8</v>
      </c>
      <c r="AM8" s="25">
        <v>8</v>
      </c>
      <c r="AN8" s="25" t="s">
        <v>59</v>
      </c>
      <c r="AO8" s="7" t="s">
        <v>59</v>
      </c>
      <c r="AP8" s="7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6">
        <v>30</v>
      </c>
    </row>
    <row r="9" spans="2:45" x14ac:dyDescent="0.2">
      <c r="B9" s="37">
        <f>SUM(Table27[Max Billable Hours])</f>
        <v>1600</v>
      </c>
      <c r="C9" s="37"/>
      <c r="E9" s="20" t="s">
        <v>91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 t="s">
        <v>59</v>
      </c>
      <c r="M9" s="7" t="s">
        <v>59</v>
      </c>
      <c r="N9" s="7">
        <v>8</v>
      </c>
      <c r="O9" s="7">
        <v>8</v>
      </c>
      <c r="P9" s="7">
        <v>8</v>
      </c>
      <c r="Q9" s="7">
        <v>8</v>
      </c>
      <c r="R9" s="7">
        <v>8</v>
      </c>
      <c r="S9" s="7" t="s">
        <v>59</v>
      </c>
      <c r="T9" s="7" t="s">
        <v>59</v>
      </c>
      <c r="U9" s="7">
        <v>8</v>
      </c>
      <c r="V9" s="7">
        <v>8</v>
      </c>
      <c r="W9" s="7">
        <v>8</v>
      </c>
      <c r="X9" s="7">
        <v>8</v>
      </c>
      <c r="Y9" s="25">
        <v>8</v>
      </c>
      <c r="Z9" s="25" t="s">
        <v>59</v>
      </c>
      <c r="AA9" s="7" t="s">
        <v>59</v>
      </c>
      <c r="AB9" s="7">
        <v>8</v>
      </c>
      <c r="AC9" s="7">
        <v>8</v>
      </c>
      <c r="AD9" s="7">
        <v>8</v>
      </c>
      <c r="AE9" s="7">
        <v>8</v>
      </c>
      <c r="AF9" s="25">
        <v>8</v>
      </c>
      <c r="AG9" s="25" t="s">
        <v>59</v>
      </c>
      <c r="AH9" s="7" t="s">
        <v>59</v>
      </c>
      <c r="AI9" s="7">
        <v>8</v>
      </c>
      <c r="AJ9" s="7">
        <v>8</v>
      </c>
      <c r="AK9" s="7">
        <v>8</v>
      </c>
      <c r="AL9" s="7">
        <v>8</v>
      </c>
      <c r="AM9" s="25">
        <v>8</v>
      </c>
      <c r="AN9" s="25" t="s">
        <v>59</v>
      </c>
      <c r="AO9" s="7" t="s">
        <v>59</v>
      </c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  <c r="AS9" s="26">
        <v>20</v>
      </c>
    </row>
    <row r="10" spans="2:45" x14ac:dyDescent="0.2">
      <c r="B10" s="37"/>
      <c r="C10" s="37"/>
      <c r="E10" s="20" t="s">
        <v>92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 t="s">
        <v>59</v>
      </c>
      <c r="M10" s="7" t="s">
        <v>59</v>
      </c>
      <c r="N10" s="7">
        <v>8</v>
      </c>
      <c r="O10" s="7">
        <v>8</v>
      </c>
      <c r="P10" s="7">
        <v>8</v>
      </c>
      <c r="Q10" s="7">
        <v>8</v>
      </c>
      <c r="R10" s="7">
        <v>8</v>
      </c>
      <c r="S10" s="7" t="s">
        <v>59</v>
      </c>
      <c r="T10" s="7" t="s">
        <v>59</v>
      </c>
      <c r="U10" s="7">
        <v>8</v>
      </c>
      <c r="V10" s="7">
        <v>8</v>
      </c>
      <c r="W10" s="7">
        <v>8</v>
      </c>
      <c r="X10" s="7">
        <v>8</v>
      </c>
      <c r="Y10" s="25">
        <v>8</v>
      </c>
      <c r="Z10" s="25" t="s">
        <v>59</v>
      </c>
      <c r="AA10" s="7" t="s">
        <v>59</v>
      </c>
      <c r="AB10" s="7" t="s">
        <v>67</v>
      </c>
      <c r="AC10" s="7">
        <v>8</v>
      </c>
      <c r="AD10" s="7">
        <v>8</v>
      </c>
      <c r="AE10" s="7">
        <v>8</v>
      </c>
      <c r="AF10" s="25">
        <v>8</v>
      </c>
      <c r="AG10" s="25" t="s">
        <v>59</v>
      </c>
      <c r="AH10" s="7" t="s">
        <v>59</v>
      </c>
      <c r="AI10" s="7">
        <v>8</v>
      </c>
      <c r="AJ10" s="7">
        <v>8</v>
      </c>
      <c r="AK10" s="7">
        <v>8</v>
      </c>
      <c r="AL10" s="7">
        <v>8</v>
      </c>
      <c r="AM10" s="25">
        <v>8</v>
      </c>
      <c r="AN10" s="25" t="s">
        <v>59</v>
      </c>
      <c r="AO10" s="7" t="s">
        <v>59</v>
      </c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  <c r="AS10" s="26">
        <v>25</v>
      </c>
    </row>
    <row r="11" spans="2:45" x14ac:dyDescent="0.2">
      <c r="B11" s="37"/>
      <c r="C11" s="37"/>
      <c r="E11" s="20" t="s">
        <v>93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1" s="2">
        <f>IF(Table27[[#This Row],[Status]]="Active",SUM(Table27[[#This Row],[1]:[31]]),"")</f>
        <v>152</v>
      </c>
      <c r="J11" s="3">
        <v>30</v>
      </c>
      <c r="K11" s="14">
        <f>IFERROR(Table27[[#This Row],[Actual Hours]]*Table27[[#This Row],[Rate]],"")</f>
        <v>4560</v>
      </c>
      <c r="L11" s="7" t="s">
        <v>59</v>
      </c>
      <c r="M11" s="7" t="s">
        <v>59</v>
      </c>
      <c r="N11" s="7">
        <v>8</v>
      </c>
      <c r="O11" s="7">
        <v>8</v>
      </c>
      <c r="P11" s="7">
        <v>8</v>
      </c>
      <c r="Q11" s="7">
        <v>8</v>
      </c>
      <c r="R11" s="7">
        <v>8</v>
      </c>
      <c r="S11" s="7" t="s">
        <v>59</v>
      </c>
      <c r="T11" s="7" t="s">
        <v>59</v>
      </c>
      <c r="U11" s="7">
        <v>8</v>
      </c>
      <c r="V11" s="7">
        <v>8</v>
      </c>
      <c r="W11" s="7">
        <v>8</v>
      </c>
      <c r="X11" s="7">
        <v>8</v>
      </c>
      <c r="Y11" s="25">
        <v>8</v>
      </c>
      <c r="Z11" s="25" t="s">
        <v>59</v>
      </c>
      <c r="AA11" s="7" t="s">
        <v>59</v>
      </c>
      <c r="AB11" s="7">
        <v>8</v>
      </c>
      <c r="AC11" s="7">
        <v>8</v>
      </c>
      <c r="AD11" s="7">
        <v>8</v>
      </c>
      <c r="AE11" s="7">
        <v>8</v>
      </c>
      <c r="AF11" s="25">
        <v>8</v>
      </c>
      <c r="AG11" s="25" t="s">
        <v>59</v>
      </c>
      <c r="AH11" s="7" t="s">
        <v>59</v>
      </c>
      <c r="AI11" s="7" t="s">
        <v>67</v>
      </c>
      <c r="AJ11" s="7">
        <v>8</v>
      </c>
      <c r="AK11" s="7">
        <v>8</v>
      </c>
      <c r="AL11" s="7">
        <v>8</v>
      </c>
      <c r="AM11" s="25">
        <v>8</v>
      </c>
      <c r="AN11" s="25" t="s">
        <v>59</v>
      </c>
      <c r="AO11" s="7" t="s">
        <v>59</v>
      </c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0.95</v>
      </c>
      <c r="AS11" s="26">
        <v>23</v>
      </c>
    </row>
    <row r="12" spans="2:45" x14ac:dyDescent="0.2">
      <c r="B12" s="37"/>
      <c r="C12" s="37"/>
      <c r="E12" s="20" t="s">
        <v>94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2" s="2">
        <f>IF(Table27[[#This Row],[Status]]="Active",SUM(Table27[[#This Row],[1]:[31]]),"")</f>
        <v>160</v>
      </c>
      <c r="J12" s="3">
        <v>28</v>
      </c>
      <c r="K12" s="14">
        <f>IFERROR(Table27[[#This Row],[Actual Hours]]*Table27[[#This Row],[Rate]],"")</f>
        <v>4480</v>
      </c>
      <c r="L12" s="7" t="s">
        <v>59</v>
      </c>
      <c r="M12" s="7" t="s">
        <v>59</v>
      </c>
      <c r="N12" s="7">
        <v>8</v>
      </c>
      <c r="O12" s="7">
        <v>8</v>
      </c>
      <c r="P12" s="7">
        <v>8</v>
      </c>
      <c r="Q12" s="7">
        <v>8</v>
      </c>
      <c r="R12" s="7">
        <v>8</v>
      </c>
      <c r="S12" s="7" t="s">
        <v>59</v>
      </c>
      <c r="T12" s="7" t="s">
        <v>59</v>
      </c>
      <c r="U12" s="7">
        <v>8</v>
      </c>
      <c r="V12" s="7">
        <v>8</v>
      </c>
      <c r="W12" s="7">
        <v>8</v>
      </c>
      <c r="X12" s="7">
        <v>8</v>
      </c>
      <c r="Y12" s="25">
        <v>8</v>
      </c>
      <c r="Z12" s="25" t="s">
        <v>59</v>
      </c>
      <c r="AA12" s="7" t="s">
        <v>59</v>
      </c>
      <c r="AB12" s="7">
        <v>8</v>
      </c>
      <c r="AC12" s="7">
        <v>8</v>
      </c>
      <c r="AD12" s="7">
        <v>8</v>
      </c>
      <c r="AE12" s="7">
        <v>8</v>
      </c>
      <c r="AF12" s="25">
        <v>8</v>
      </c>
      <c r="AG12" s="25" t="s">
        <v>59</v>
      </c>
      <c r="AH12" s="7" t="s">
        <v>59</v>
      </c>
      <c r="AI12" s="7">
        <v>8</v>
      </c>
      <c r="AJ12" s="7">
        <v>8</v>
      </c>
      <c r="AK12" s="7">
        <v>8</v>
      </c>
      <c r="AL12" s="7">
        <v>8</v>
      </c>
      <c r="AM12" s="25">
        <v>8</v>
      </c>
      <c r="AN12" s="25" t="s">
        <v>59</v>
      </c>
      <c r="AO12" s="7" t="s">
        <v>59</v>
      </c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  <c r="AS12" s="26">
        <v>19</v>
      </c>
    </row>
    <row r="13" spans="2:45" x14ac:dyDescent="0.2">
      <c r="B13" s="37"/>
      <c r="C13" s="37"/>
      <c r="E13" s="20" t="s">
        <v>95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3" s="2">
        <f>IF(Table27[[#This Row],[Status]]="Active",SUM(Table27[[#This Row],[1]:[31]]),"")</f>
        <v>152</v>
      </c>
      <c r="J13" s="3">
        <v>32</v>
      </c>
      <c r="K13" s="14">
        <f>IFERROR(Table27[[#This Row],[Actual Hours]]*Table27[[#This Row],[Rate]],"")</f>
        <v>4864</v>
      </c>
      <c r="L13" s="7" t="s">
        <v>59</v>
      </c>
      <c r="M13" s="7" t="s">
        <v>59</v>
      </c>
      <c r="N13" s="7">
        <v>8</v>
      </c>
      <c r="O13" s="7">
        <v>8</v>
      </c>
      <c r="P13" s="7" t="s">
        <v>67</v>
      </c>
      <c r="Q13" s="7">
        <v>8</v>
      </c>
      <c r="R13" s="7">
        <v>8</v>
      </c>
      <c r="S13" s="7" t="s">
        <v>59</v>
      </c>
      <c r="T13" s="7" t="s">
        <v>59</v>
      </c>
      <c r="U13" s="7">
        <v>8</v>
      </c>
      <c r="V13" s="7">
        <v>8</v>
      </c>
      <c r="W13" s="7">
        <v>8</v>
      </c>
      <c r="X13" s="7">
        <v>8</v>
      </c>
      <c r="Y13" s="25">
        <v>8</v>
      </c>
      <c r="Z13" s="25" t="s">
        <v>59</v>
      </c>
      <c r="AA13" s="7" t="s">
        <v>59</v>
      </c>
      <c r="AB13" s="7">
        <v>8</v>
      </c>
      <c r="AC13" s="7">
        <v>8</v>
      </c>
      <c r="AD13" s="7">
        <v>8</v>
      </c>
      <c r="AE13" s="7">
        <v>8</v>
      </c>
      <c r="AF13" s="25">
        <v>8</v>
      </c>
      <c r="AG13" s="25" t="s">
        <v>59</v>
      </c>
      <c r="AH13" s="7" t="s">
        <v>59</v>
      </c>
      <c r="AI13" s="7">
        <v>8</v>
      </c>
      <c r="AJ13" s="7">
        <v>8</v>
      </c>
      <c r="AK13" s="7">
        <v>8</v>
      </c>
      <c r="AL13" s="7">
        <v>8</v>
      </c>
      <c r="AM13" s="25">
        <v>8</v>
      </c>
      <c r="AN13" s="25" t="s">
        <v>59</v>
      </c>
      <c r="AO13" s="7" t="s">
        <v>59</v>
      </c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0.95</v>
      </c>
      <c r="AS13" s="26">
        <v>23</v>
      </c>
    </row>
    <row r="14" spans="2:45" x14ac:dyDescent="0.2">
      <c r="B14" s="37"/>
      <c r="C14" s="37"/>
      <c r="E14" s="20" t="s">
        <v>96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 t="s">
        <v>59</v>
      </c>
      <c r="M14" s="7" t="s">
        <v>59</v>
      </c>
      <c r="N14" s="7">
        <v>8</v>
      </c>
      <c r="O14" s="7">
        <v>8</v>
      </c>
      <c r="P14" s="7">
        <v>8</v>
      </c>
      <c r="Q14" s="7">
        <v>8</v>
      </c>
      <c r="R14" s="7">
        <v>8</v>
      </c>
      <c r="S14" s="7" t="s">
        <v>59</v>
      </c>
      <c r="T14" s="7" t="s">
        <v>59</v>
      </c>
      <c r="U14" s="7">
        <v>8</v>
      </c>
      <c r="V14" s="7">
        <v>8</v>
      </c>
      <c r="W14" s="7">
        <v>8</v>
      </c>
      <c r="X14" s="7">
        <v>8</v>
      </c>
      <c r="Y14" s="25">
        <v>8</v>
      </c>
      <c r="Z14" s="25" t="s">
        <v>59</v>
      </c>
      <c r="AA14" s="7" t="s">
        <v>59</v>
      </c>
      <c r="AB14" s="7">
        <v>8</v>
      </c>
      <c r="AC14" s="7">
        <v>8</v>
      </c>
      <c r="AD14" s="7">
        <v>8</v>
      </c>
      <c r="AE14" s="7">
        <v>8</v>
      </c>
      <c r="AF14" s="25" t="s">
        <v>67</v>
      </c>
      <c r="AG14" s="25" t="s">
        <v>59</v>
      </c>
      <c r="AH14" s="7" t="s">
        <v>59</v>
      </c>
      <c r="AI14" s="7">
        <v>8</v>
      </c>
      <c r="AJ14" s="7">
        <v>8</v>
      </c>
      <c r="AK14" s="7">
        <v>8</v>
      </c>
      <c r="AL14" s="7">
        <v>8</v>
      </c>
      <c r="AM14" s="25">
        <v>8</v>
      </c>
      <c r="AN14" s="25" t="s">
        <v>59</v>
      </c>
      <c r="AO14" s="7" t="s">
        <v>59</v>
      </c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  <c r="AS14" s="26">
        <v>26</v>
      </c>
    </row>
    <row r="15" spans="2:45" x14ac:dyDescent="0.2">
      <c r="B15" s="37"/>
      <c r="C15" s="37"/>
      <c r="E15" s="20" t="s">
        <v>97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5" s="2">
        <f>IF(Table27[[#This Row],[Status]]="Active",SUM(Table27[[#This Row],[1]:[31]]),"")</f>
        <v>160</v>
      </c>
      <c r="J15" s="3">
        <v>30</v>
      </c>
      <c r="K15" s="14">
        <f>IFERROR(Table27[[#This Row],[Actual Hours]]*Table27[[#This Row],[Rate]],"")</f>
        <v>4800</v>
      </c>
      <c r="L15" s="7" t="s">
        <v>59</v>
      </c>
      <c r="M15" s="7" t="s">
        <v>59</v>
      </c>
      <c r="N15" s="7">
        <v>8</v>
      </c>
      <c r="O15" s="7">
        <v>8</v>
      </c>
      <c r="P15" s="7">
        <v>8</v>
      </c>
      <c r="Q15" s="7">
        <v>8</v>
      </c>
      <c r="R15" s="7">
        <v>8</v>
      </c>
      <c r="S15" s="7" t="s">
        <v>59</v>
      </c>
      <c r="T15" s="7" t="s">
        <v>59</v>
      </c>
      <c r="U15" s="7">
        <v>8</v>
      </c>
      <c r="V15" s="7">
        <v>8</v>
      </c>
      <c r="W15" s="7">
        <v>8</v>
      </c>
      <c r="X15" s="7">
        <v>8</v>
      </c>
      <c r="Y15" s="25">
        <v>8</v>
      </c>
      <c r="Z15" s="25" t="s">
        <v>59</v>
      </c>
      <c r="AA15" s="7" t="s">
        <v>59</v>
      </c>
      <c r="AB15" s="7">
        <v>8</v>
      </c>
      <c r="AC15" s="7">
        <v>8</v>
      </c>
      <c r="AD15" s="7">
        <v>8</v>
      </c>
      <c r="AE15" s="7">
        <v>8</v>
      </c>
      <c r="AF15" s="25">
        <v>8</v>
      </c>
      <c r="AG15" s="25" t="s">
        <v>59</v>
      </c>
      <c r="AH15" s="7" t="s">
        <v>59</v>
      </c>
      <c r="AI15" s="7">
        <v>8</v>
      </c>
      <c r="AJ15" s="7">
        <v>8</v>
      </c>
      <c r="AK15" s="7">
        <v>8</v>
      </c>
      <c r="AL15" s="7">
        <v>8</v>
      </c>
      <c r="AM15" s="25">
        <v>8</v>
      </c>
      <c r="AN15" s="25" t="s">
        <v>59</v>
      </c>
      <c r="AO15" s="7" t="s">
        <v>59</v>
      </c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  <c r="AS15" s="26">
        <v>29</v>
      </c>
    </row>
    <row r="16" spans="2:45" x14ac:dyDescent="0.2">
      <c r="B16" s="37"/>
      <c r="C16" s="37"/>
      <c r="E16" s="20" t="s">
        <v>98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6" s="2">
        <f>IF(Table27[[#This Row],[Status]]="Active",SUM(Table27[[#This Row],[1]:[31]]),"")</f>
        <v>160</v>
      </c>
      <c r="J16" s="3">
        <v>28</v>
      </c>
      <c r="K16" s="14">
        <f>IFERROR(Table27[[#This Row],[Actual Hours]]*Table27[[#This Row],[Rate]],"")</f>
        <v>4480</v>
      </c>
      <c r="L16" s="7" t="s">
        <v>59</v>
      </c>
      <c r="M16" s="7" t="s">
        <v>59</v>
      </c>
      <c r="N16" s="7">
        <v>8</v>
      </c>
      <c r="O16" s="7">
        <v>8</v>
      </c>
      <c r="P16" s="7">
        <v>8</v>
      </c>
      <c r="Q16" s="7">
        <v>8</v>
      </c>
      <c r="R16" s="7">
        <v>8</v>
      </c>
      <c r="S16" s="7" t="s">
        <v>59</v>
      </c>
      <c r="T16" s="7" t="s">
        <v>59</v>
      </c>
      <c r="U16" s="7">
        <v>8</v>
      </c>
      <c r="V16" s="7">
        <v>8</v>
      </c>
      <c r="W16" s="7">
        <v>8</v>
      </c>
      <c r="X16" s="7">
        <v>8</v>
      </c>
      <c r="Y16" s="25">
        <v>8</v>
      </c>
      <c r="Z16" s="25" t="s">
        <v>59</v>
      </c>
      <c r="AA16" s="7" t="s">
        <v>59</v>
      </c>
      <c r="AB16" s="7">
        <v>8</v>
      </c>
      <c r="AC16" s="7">
        <v>8</v>
      </c>
      <c r="AD16" s="7">
        <v>8</v>
      </c>
      <c r="AE16" s="7">
        <v>8</v>
      </c>
      <c r="AF16" s="25">
        <v>8</v>
      </c>
      <c r="AG16" s="25" t="s">
        <v>59</v>
      </c>
      <c r="AH16" s="7" t="s">
        <v>59</v>
      </c>
      <c r="AI16" s="7">
        <v>8</v>
      </c>
      <c r="AJ16" s="7">
        <v>8</v>
      </c>
      <c r="AK16" s="7">
        <v>8</v>
      </c>
      <c r="AL16" s="7">
        <v>8</v>
      </c>
      <c r="AM16" s="25">
        <v>8</v>
      </c>
      <c r="AN16" s="25" t="s">
        <v>59</v>
      </c>
      <c r="AO16" s="7" t="s">
        <v>59</v>
      </c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  <c r="AS16" s="26">
        <v>19</v>
      </c>
    </row>
    <row r="17" spans="2:45" x14ac:dyDescent="0.2">
      <c r="B17" s="37"/>
      <c r="C17" s="37"/>
      <c r="E17" s="20" t="s">
        <v>99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7" s="2">
        <f>IF(Table27[[#This Row],[Status]]="Active",SUM(Table27[[#This Row],[1]:[31]]),"")</f>
        <v>160</v>
      </c>
      <c r="J17" s="3">
        <v>30</v>
      </c>
      <c r="K17" s="14">
        <f>IFERROR(Table27[[#This Row],[Actual Hours]]*Table27[[#This Row],[Rate]],"")</f>
        <v>4800</v>
      </c>
      <c r="L17" s="7" t="s">
        <v>59</v>
      </c>
      <c r="M17" s="7" t="s">
        <v>59</v>
      </c>
      <c r="N17" s="7">
        <v>8</v>
      </c>
      <c r="O17" s="7">
        <v>8</v>
      </c>
      <c r="P17" s="7">
        <v>8</v>
      </c>
      <c r="Q17" s="7">
        <v>8</v>
      </c>
      <c r="R17" s="7">
        <v>8</v>
      </c>
      <c r="S17" s="7" t="s">
        <v>59</v>
      </c>
      <c r="T17" s="7" t="s">
        <v>59</v>
      </c>
      <c r="U17" s="7">
        <v>8</v>
      </c>
      <c r="V17" s="7">
        <v>8</v>
      </c>
      <c r="W17" s="7">
        <v>8</v>
      </c>
      <c r="X17" s="7">
        <v>8</v>
      </c>
      <c r="Y17" s="25">
        <v>8</v>
      </c>
      <c r="Z17" s="25" t="s">
        <v>59</v>
      </c>
      <c r="AA17" s="7" t="s">
        <v>59</v>
      </c>
      <c r="AB17" s="7">
        <v>8</v>
      </c>
      <c r="AC17" s="7">
        <v>8</v>
      </c>
      <c r="AD17" s="7">
        <v>8</v>
      </c>
      <c r="AE17" s="7">
        <v>8</v>
      </c>
      <c r="AF17" s="25">
        <v>8</v>
      </c>
      <c r="AG17" s="25" t="s">
        <v>59</v>
      </c>
      <c r="AH17" s="7" t="s">
        <v>59</v>
      </c>
      <c r="AI17" s="7">
        <v>8</v>
      </c>
      <c r="AJ17" s="7">
        <v>8</v>
      </c>
      <c r="AK17" s="7">
        <v>8</v>
      </c>
      <c r="AL17" s="7">
        <v>8</v>
      </c>
      <c r="AM17" s="25">
        <v>8</v>
      </c>
      <c r="AN17" s="25" t="s">
        <v>59</v>
      </c>
      <c r="AO17" s="7" t="s">
        <v>59</v>
      </c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26">
        <v>25</v>
      </c>
    </row>
    <row r="18" spans="2:45" x14ac:dyDescent="0.2">
      <c r="B18" s="37"/>
      <c r="C18" s="37"/>
      <c r="E18" s="20" t="s">
        <v>100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8" s="2">
        <f>IF(Table27[[#This Row],[Status]]="Active",SUM(Table27[[#This Row],[1]:[31]]),"")</f>
        <v>152</v>
      </c>
      <c r="J18" s="3">
        <v>30</v>
      </c>
      <c r="K18" s="14">
        <f>IFERROR(Table27[[#This Row],[Actual Hours]]*Table27[[#This Row],[Rate]],"")</f>
        <v>4560</v>
      </c>
      <c r="L18" s="7" t="s">
        <v>59</v>
      </c>
      <c r="M18" s="7" t="s">
        <v>59</v>
      </c>
      <c r="N18" s="7">
        <v>8</v>
      </c>
      <c r="O18" s="7">
        <v>8</v>
      </c>
      <c r="P18" s="7">
        <v>8</v>
      </c>
      <c r="Q18" s="7">
        <v>8</v>
      </c>
      <c r="R18" s="7">
        <v>8</v>
      </c>
      <c r="S18" s="7" t="s">
        <v>59</v>
      </c>
      <c r="T18" s="7" t="s">
        <v>59</v>
      </c>
      <c r="U18" s="7">
        <v>8</v>
      </c>
      <c r="V18" s="7">
        <v>8</v>
      </c>
      <c r="W18" s="7">
        <v>8</v>
      </c>
      <c r="X18" s="7">
        <v>8</v>
      </c>
      <c r="Y18" s="25">
        <v>8</v>
      </c>
      <c r="Z18" s="25" t="s">
        <v>59</v>
      </c>
      <c r="AA18" s="7" t="s">
        <v>59</v>
      </c>
      <c r="AB18" s="7">
        <v>8</v>
      </c>
      <c r="AC18" s="7">
        <v>8</v>
      </c>
      <c r="AD18" s="7">
        <v>8</v>
      </c>
      <c r="AE18" s="7">
        <v>8</v>
      </c>
      <c r="AF18" s="25">
        <v>8</v>
      </c>
      <c r="AG18" s="25" t="s">
        <v>59</v>
      </c>
      <c r="AH18" s="7" t="s">
        <v>59</v>
      </c>
      <c r="AI18" s="7" t="s">
        <v>67</v>
      </c>
      <c r="AJ18" s="7">
        <v>8</v>
      </c>
      <c r="AK18" s="7">
        <v>8</v>
      </c>
      <c r="AL18" s="7">
        <v>8</v>
      </c>
      <c r="AM18" s="25">
        <v>8</v>
      </c>
      <c r="AN18" s="25" t="s">
        <v>59</v>
      </c>
      <c r="AO18" s="7" t="s">
        <v>59</v>
      </c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</v>
      </c>
      <c r="AS18" s="26">
        <v>17</v>
      </c>
    </row>
    <row r="19" spans="2:45" x14ac:dyDescent="0.2">
      <c r="B19" s="37"/>
      <c r="C19" s="37"/>
      <c r="E19" s="20" t="s">
        <v>101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160</v>
      </c>
      <c r="I19" s="2">
        <f>IF(Table27[[#This Row],[Status]]="Active",SUM(Table27[[#This Row],[1]:[31]]),"")</f>
        <v>160</v>
      </c>
      <c r="J19" s="3">
        <v>30</v>
      </c>
      <c r="K19" s="14">
        <f>IFERROR(Table27[[#This Row],[Actual Hours]]*Table27[[#This Row],[Rate]],"")</f>
        <v>4800</v>
      </c>
      <c r="L19" s="7" t="s">
        <v>59</v>
      </c>
      <c r="M19" s="7" t="s">
        <v>59</v>
      </c>
      <c r="N19" s="7">
        <v>8</v>
      </c>
      <c r="O19" s="7">
        <v>8</v>
      </c>
      <c r="P19" s="7">
        <v>8</v>
      </c>
      <c r="Q19" s="7">
        <v>8</v>
      </c>
      <c r="R19" s="7">
        <v>8</v>
      </c>
      <c r="S19" s="7" t="s">
        <v>59</v>
      </c>
      <c r="T19" s="7" t="s">
        <v>59</v>
      </c>
      <c r="U19" s="7">
        <v>8</v>
      </c>
      <c r="V19" s="7">
        <v>8</v>
      </c>
      <c r="W19" s="7">
        <v>8</v>
      </c>
      <c r="X19" s="7">
        <v>8</v>
      </c>
      <c r="Y19" s="25">
        <v>8</v>
      </c>
      <c r="Z19" s="25" t="s">
        <v>59</v>
      </c>
      <c r="AA19" s="7" t="s">
        <v>59</v>
      </c>
      <c r="AB19" s="7">
        <v>8</v>
      </c>
      <c r="AC19" s="7">
        <v>8</v>
      </c>
      <c r="AD19" s="7">
        <v>8</v>
      </c>
      <c r="AE19" s="7">
        <v>8</v>
      </c>
      <c r="AF19" s="25">
        <v>8</v>
      </c>
      <c r="AG19" s="25" t="s">
        <v>59</v>
      </c>
      <c r="AH19" s="7" t="s">
        <v>59</v>
      </c>
      <c r="AI19" s="7">
        <v>8</v>
      </c>
      <c r="AJ19" s="7">
        <v>8</v>
      </c>
      <c r="AK19" s="7">
        <v>8</v>
      </c>
      <c r="AL19" s="7">
        <v>8</v>
      </c>
      <c r="AM19" s="25">
        <v>8</v>
      </c>
      <c r="AN19" s="25" t="s">
        <v>59</v>
      </c>
      <c r="AO19" s="7" t="s">
        <v>59</v>
      </c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  <c r="AS19" s="26">
        <v>20</v>
      </c>
    </row>
    <row r="20" spans="2:45" x14ac:dyDescent="0.2">
      <c r="B20" s="37"/>
      <c r="C20" s="37"/>
      <c r="E20" s="20" t="s">
        <v>102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 t="s">
        <v>59</v>
      </c>
      <c r="M20" s="7" t="s">
        <v>59</v>
      </c>
      <c r="N20" s="7">
        <v>8</v>
      </c>
      <c r="O20" s="7">
        <v>8</v>
      </c>
      <c r="P20" s="7">
        <v>8</v>
      </c>
      <c r="Q20" s="7">
        <v>8</v>
      </c>
      <c r="R20" s="7">
        <v>8</v>
      </c>
      <c r="S20" s="7" t="s">
        <v>59</v>
      </c>
      <c r="T20" s="7" t="s">
        <v>59</v>
      </c>
      <c r="U20" s="7">
        <v>8</v>
      </c>
      <c r="V20" s="7">
        <v>8</v>
      </c>
      <c r="W20" s="7">
        <v>8</v>
      </c>
      <c r="X20" s="7">
        <v>8</v>
      </c>
      <c r="Y20" s="25">
        <v>8</v>
      </c>
      <c r="Z20" s="25" t="s">
        <v>59</v>
      </c>
      <c r="AA20" s="7" t="s">
        <v>59</v>
      </c>
      <c r="AB20" s="7">
        <v>8</v>
      </c>
      <c r="AC20" s="7">
        <v>8</v>
      </c>
      <c r="AD20" s="7">
        <v>8</v>
      </c>
      <c r="AE20" s="7">
        <v>8</v>
      </c>
      <c r="AF20" s="25">
        <v>8</v>
      </c>
      <c r="AG20" s="25" t="s">
        <v>59</v>
      </c>
      <c r="AH20" s="7" t="s">
        <v>59</v>
      </c>
      <c r="AI20" s="7">
        <v>8</v>
      </c>
      <c r="AJ20" s="7">
        <v>8</v>
      </c>
      <c r="AK20" s="7">
        <v>8</v>
      </c>
      <c r="AL20" s="7">
        <v>8</v>
      </c>
      <c r="AM20" s="25">
        <v>8</v>
      </c>
      <c r="AN20" s="25" t="s">
        <v>59</v>
      </c>
      <c r="AO20" s="7" t="s">
        <v>59</v>
      </c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  <c r="AS20" s="26">
        <v>20</v>
      </c>
    </row>
    <row r="21" spans="2:45" x14ac:dyDescent="0.2">
      <c r="B21" s="37"/>
      <c r="C21" s="37"/>
      <c r="E21" s="10"/>
      <c r="F21" s="10"/>
      <c r="G21" s="2" t="s">
        <v>58</v>
      </c>
      <c r="H21" s="2">
        <f>SUBTOTAL(109,Table27[Max Billable Hours])</f>
        <v>1600</v>
      </c>
      <c r="I21" s="2">
        <f>SUBTOTAL(109,Table27[Actual Hours])</f>
        <v>1576</v>
      </c>
      <c r="J21" s="2"/>
      <c r="K21" s="16">
        <f>SUBTOTAL(109,Table27[Final Billing Amount])</f>
        <v>47584</v>
      </c>
      <c r="L21" s="10">
        <f>SUBTOTAL(109,Table27[1])</f>
        <v>0</v>
      </c>
      <c r="M21" s="10">
        <f>SUBTOTAL(109,Table27[2])</f>
        <v>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112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0</v>
      </c>
      <c r="T21" s="10">
        <f>SUBTOTAL(109,Table27[9])</f>
        <v>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0</v>
      </c>
      <c r="AA21" s="10">
        <f>SUBTOTAL(109,Table27[16])</f>
        <v>0</v>
      </c>
      <c r="AB21" s="10">
        <f>SUBTOTAL(109,Table27[17])</f>
        <v>112</v>
      </c>
      <c r="AC21" s="10" t="s">
        <v>133</v>
      </c>
      <c r="AD21" s="10" t="s">
        <v>133</v>
      </c>
      <c r="AE21" s="10">
        <f>SUBTOTAL(109,Table27[20])</f>
        <v>120</v>
      </c>
      <c r="AF21" s="10">
        <f>SUBTOTAL(109,Table27[21])</f>
        <v>112</v>
      </c>
      <c r="AG21" s="10">
        <f>SUBTOTAL(109,Table27[22])</f>
        <v>0</v>
      </c>
      <c r="AH21" s="10">
        <f>SUBTOTAL(109,Table27[23])</f>
        <v>0</v>
      </c>
      <c r="AI21" s="10">
        <f>SUBTOTAL(109,Table27[24])</f>
        <v>104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120</v>
      </c>
      <c r="AM21" s="10">
        <f>SUBTOTAL(109,Table27[28])</f>
        <v>120</v>
      </c>
      <c r="AN21" s="10">
        <f>SUBTOTAL(109,Table27[29])</f>
        <v>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0.98499999999999999</v>
      </c>
      <c r="AS21" s="10"/>
    </row>
    <row r="23" spans="2:45" x14ac:dyDescent="0.2">
      <c r="B23" s="38" t="s">
        <v>20</v>
      </c>
      <c r="C23" s="38"/>
    </row>
    <row r="24" spans="2:45" x14ac:dyDescent="0.2">
      <c r="B24" s="32">
        <f>SUM(Table27[Actual Hours])</f>
        <v>1576</v>
      </c>
      <c r="C24" s="32"/>
    </row>
    <row r="25" spans="2:45" x14ac:dyDescent="0.2">
      <c r="B25" s="32"/>
      <c r="C25" s="32"/>
    </row>
    <row r="27" spans="2:45" x14ac:dyDescent="0.2">
      <c r="B27" s="27" t="s">
        <v>68</v>
      </c>
      <c r="C27" s="27"/>
    </row>
    <row r="28" spans="2:45" x14ac:dyDescent="0.2">
      <c r="B28" s="28">
        <f>SUM(Table27[Actual Hours])/SUM(Table27[Max Billable Hours])</f>
        <v>0.98499999999999999</v>
      </c>
      <c r="C28" s="28"/>
    </row>
    <row r="29" spans="2:45" x14ac:dyDescent="0.2">
      <c r="B29" s="28"/>
      <c r="C29" s="28"/>
    </row>
    <row r="31" spans="2:45" x14ac:dyDescent="0.2">
      <c r="B31" s="29"/>
      <c r="C31" s="29"/>
    </row>
    <row r="32" spans="2:45" x14ac:dyDescent="0.2">
      <c r="B32" s="30"/>
      <c r="C32" s="31"/>
    </row>
    <row r="33" spans="2:3" x14ac:dyDescent="0.2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88</v>
      </c>
      <c r="C2" s="20" t="s">
        <v>110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89</v>
      </c>
      <c r="C3" s="20" t="s">
        <v>111</v>
      </c>
      <c r="D3" s="20" t="s">
        <v>76</v>
      </c>
      <c r="E3" s="1">
        <v>45525</v>
      </c>
      <c r="F3" t="s">
        <v>87</v>
      </c>
      <c r="H3">
        <v>8</v>
      </c>
    </row>
    <row r="4" spans="2:8" x14ac:dyDescent="0.2">
      <c r="B4" s="20" t="s">
        <v>90</v>
      </c>
      <c r="C4" s="20" t="s">
        <v>112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91</v>
      </c>
      <c r="C5" s="20" t="s">
        <v>113</v>
      </c>
      <c r="D5" s="20" t="s">
        <v>78</v>
      </c>
      <c r="E5" s="1">
        <v>45525</v>
      </c>
      <c r="F5" t="s">
        <v>87</v>
      </c>
      <c r="H5">
        <v>2</v>
      </c>
    </row>
    <row r="6" spans="2:8" x14ac:dyDescent="0.2">
      <c r="B6" s="20" t="s">
        <v>92</v>
      </c>
      <c r="C6" s="20" t="s">
        <v>114</v>
      </c>
      <c r="D6" s="20" t="s">
        <v>79</v>
      </c>
      <c r="E6" s="1">
        <v>45525</v>
      </c>
      <c r="F6" t="s">
        <v>87</v>
      </c>
      <c r="H6">
        <v>8</v>
      </c>
    </row>
    <row r="7" spans="2:8" x14ac:dyDescent="0.2">
      <c r="B7" s="20" t="s">
        <v>93</v>
      </c>
      <c r="C7" s="20" t="s">
        <v>115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94</v>
      </c>
      <c r="C8" s="20" t="s">
        <v>116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95</v>
      </c>
      <c r="C9" s="20" t="s">
        <v>117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96</v>
      </c>
      <c r="C10" s="20" t="s">
        <v>118</v>
      </c>
      <c r="D10" s="20" t="s">
        <v>82</v>
      </c>
      <c r="E10" s="1">
        <v>45525</v>
      </c>
      <c r="F10" t="s">
        <v>87</v>
      </c>
      <c r="H10">
        <v>8</v>
      </c>
    </row>
    <row r="11" spans="2:8" x14ac:dyDescent="0.2">
      <c r="B11" s="20" t="s">
        <v>97</v>
      </c>
      <c r="C11" s="20" t="s">
        <v>119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98</v>
      </c>
      <c r="C12" s="20" t="s">
        <v>120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99</v>
      </c>
      <c r="C13" s="20" t="s">
        <v>121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100</v>
      </c>
      <c r="C14" s="20" t="s">
        <v>122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101</v>
      </c>
      <c r="C15" s="20" t="s">
        <v>123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102</v>
      </c>
      <c r="C16" s="20" t="s">
        <v>124</v>
      </c>
      <c r="D16" s="22" t="s">
        <v>74</v>
      </c>
      <c r="E16" s="23">
        <v>24</v>
      </c>
      <c r="F16" t="s">
        <v>87</v>
      </c>
      <c r="H16">
        <v>8</v>
      </c>
    </row>
    <row r="17" spans="2:8" x14ac:dyDescent="0.2">
      <c r="B17" s="20" t="s">
        <v>103</v>
      </c>
      <c r="C17" s="20" t="s">
        <v>125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104</v>
      </c>
      <c r="C18" s="20" t="s">
        <v>126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105</v>
      </c>
      <c r="C19" s="20" t="s">
        <v>127</v>
      </c>
      <c r="D19" t="s">
        <v>75</v>
      </c>
      <c r="E19" s="1">
        <v>45525</v>
      </c>
      <c r="F19" t="s">
        <v>87</v>
      </c>
      <c r="H19">
        <v>2</v>
      </c>
    </row>
    <row r="20" spans="2:8" x14ac:dyDescent="0.2">
      <c r="B20" s="20" t="s">
        <v>106</v>
      </c>
      <c r="C20" s="20" t="s">
        <v>128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107</v>
      </c>
      <c r="C21" s="20" t="s">
        <v>129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2">
      <c r="B22" s="20" t="s">
        <v>108</v>
      </c>
      <c r="C22" s="20" t="s">
        <v>130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109</v>
      </c>
      <c r="C23" s="20" t="s">
        <v>131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2026-04-23T19:57:42Z</dcterms:modified>
</cp:coreProperties>
</file>