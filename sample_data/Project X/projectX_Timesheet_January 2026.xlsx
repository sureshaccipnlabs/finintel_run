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Project X/"/>
    </mc:Choice>
  </mc:AlternateContent>
  <xr:revisionPtr revIDLastSave="0" documentId="13_ncr:1_{99569C75-F008-DC4B-99A9-9B8ECD2326CF}" xr6:coauthVersionLast="47" xr6:coauthVersionMax="47" xr10:uidLastSave="{00000000-0000-0000-0000-000000000000}"/>
  <bookViews>
    <workbookView xWindow="0" yWindow="740" windowWidth="34560" windowHeight="21600" activeTab="1" xr2:uid="{D17B7CAD-D25E-4F20-8096-0A9ACC033B04}"/>
  </bookViews>
  <sheets>
    <sheet name="Instructions" sheetId="6" r:id="rId1"/>
    <sheet name="Jan'26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AP21" i="5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<sst xmlns="http://schemas.openxmlformats.org/spreadsheetml/2006/main" count="336" uniqueCount="135">
  <si>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</si>
  <si>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</si>
  <si>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</si>
  <si>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</si>
  <si>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</si>
  <si>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</si>
  <si>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</si>
  <si>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</si>
  <si>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</si>
  <si>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</si>
  <si>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</si>
  <si>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</si>
  <si>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</si>
  <si>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</si>
  <si>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</si>
  <si>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</si>
  <si>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</si>
  <si>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</si>
  <si>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</si>
  <si>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</si>
  <si>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</si>
  <si>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</si>
  <si>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</si>
  <si>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</si>
  <si>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</si>
  <si>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</si>
  <si>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</si>
  <si>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</si>
  <si>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</si>
  <si>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</si>
  <si>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</si>
  <si>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</si>
  <si>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</si>
  <si>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</si>
  <si>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</si>
  <si>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</si>
  <si>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</si>
  <si>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</si>
  <si>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</si>
  <si>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</si>
  <si>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</si>
  <si>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</si>
  <si>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</si>
  <si>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</si>
  <si>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</si>
  <si>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</si>
  <si>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</si>
  <si>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</si>
  <si>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</si>
  <si>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</si>
  <si>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</si>
  <si>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</si>
  <si>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</si>
  <si>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</si>
  <si>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</si>
  <si>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</si>
  <si>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</si>
  <si>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</si>
  <si>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</si>
  <si>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</si>
  <si>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</si>
  <si>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</si>
  <si>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</si>
  <si>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</si>
  <si>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</si>
  <si>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</si>
  <si>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</si>
  <si>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</si>
  <si>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</si>
  <si>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</si>
  <si>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</si>
  <si>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</si>
  <si>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</si>
  <si>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</si>
  <si>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</si>
  <si>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</si>
  <si>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</si>
  <si>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</si>
  <si>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</si>
  <si>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</si>
  <si>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</si>
  <si>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</si>
  <si>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</si>
  <si>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</si>
  <si>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</si>
  <si>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</si>
  <si>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PH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</si>
  <si>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</si>
  <si>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</si>
  <si>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</si>
  <si>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</si>
  <si>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</si>
  <si>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</si>
  <si>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</si>
  <si>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</si>
  <si>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</si>
  <si>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</si>
  <si>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</si>
  <si>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</si>
  <si>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</si>
  <si>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</si>
  <si>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</si>
  <si>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</si>
  <si>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</si>
  <si>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</si>
  <si>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</si>
  <si>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</si>
  <si>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</si>
  <si>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</si>
  <si>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</si>
  <si>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</si>
  <si>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</si>
  <si>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</si>
  <si>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</si>
  <si>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</si>
  <si>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</si>
  <si>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</si>
  <si>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</si>
  <si>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</si>
  <si>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</si>
  <si>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</si>
  <si>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</si>
  <si>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</si>
  <si>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</si>
  <si>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</si>
  <si>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</si>
  <si>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</si>
  <si>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</si>
  <si>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</si>
  <si>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</si>
  <si>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</si>
  <si>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</si>
  <si>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</si>
  <si>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</si>
  <si>
    <t>cost_rate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</si>
</sst>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9" fillId="0" borderId="0" xfId="0" applyFont="1"/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</cellXfs>
  <cellStyles count="2">
    <cellStyle name="Normal" xfId="0" builtinId="0"/>
    <cellStyle name="Percent" xfId="1" builtinId="5"/>
  </cellStyles>
  <dxfs count="91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S21" totalsRowCount="1" headerRowDxfId="90" dataDxfId="89">
  <tableColumns count="41">
    <tableColumn id="40" xr3:uid="{0A54AE2F-C256-4AA4-81C3-E00ACCC76EC8}" name="Emp ID" dataDxfId="88" totalsRowDxfId="87"/>
    <tableColumn id="39" xr3:uid="{9669CAB7-33E5-40E8-9ECD-BFA5F383C0BD}" name="Role as per SoW" dataDxfId="86" totalsRowDxfId="85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4" totalsRowDxfId="83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2" totalsRowDxfId="81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80" totalsRowDxfId="79">
      <calculatedColumnFormula>IF(Table27[[#This Row],[Status]]="Active",SUM(Table27[[#This Row],[1]:[31]]),"")</calculatedColumnFormula>
    </tableColumn>
    <tableColumn id="4" xr3:uid="{C4F1F072-CB0B-4451-B5C6-05FB81DFFC03}" name="Rate" dataDxfId="78" totalsRowDxfId="77"/>
    <tableColumn id="5" xr3:uid="{6E3636B9-97B1-4231-848A-84020E8CD1A3}" name="Final Billing Amount" totalsRowFunction="sum" dataDxfId="76" totalsRowDxfId="75">
      <calculatedColumnFormula>IFERROR(Table27[[#This Row],[Actual Hours]]*Table27[[#This Row],[Rate]],"")</calculatedColumnFormula>
    </tableColumn>
    <tableColumn id="6" xr3:uid="{D4793879-E2F3-472D-8E9B-2105426B8F6B}" name="1" totalsRowFunction="sum" dataDxfId="74" totalsRowDxfId="73"/>
    <tableColumn id="7" xr3:uid="{E486E4A8-41C0-4AFF-BB9A-B45102FE633C}" name="2" totalsRowFunction="sum" dataDxfId="72" totalsRowDxfId="71"/>
    <tableColumn id="8" xr3:uid="{4A4F0742-3816-4B9E-9F0A-7F96C051FEC1}" name="3" totalsRowFunction="sum" dataDxfId="70" totalsRowDxfId="69"/>
    <tableColumn id="9" xr3:uid="{24E6AAA5-D211-40AD-808B-294BCA6071A0}" name="4" totalsRowFunction="sum" dataDxfId="68" totalsRowDxfId="67"/>
    <tableColumn id="10" xr3:uid="{70086128-55FD-4B5D-AE29-F9B280C62589}" name="5" totalsRowFunction="sum" dataDxfId="66" totalsRowDxfId="65"/>
    <tableColumn id="11" xr3:uid="{F86580CD-5B8C-4123-A821-D46F4A6EC4F6}" name="6" totalsRowFunction="sum" dataDxfId="64" totalsRowDxfId="63"/>
    <tableColumn id="12" xr3:uid="{6F961A6F-63D3-4D42-AE89-E86613A2C14F}" name="7" totalsRowFunction="sum" dataDxfId="62" totalsRowDxfId="61"/>
    <tableColumn id="13" xr3:uid="{554D2725-AA19-4B75-A7B9-2A8387E18BDC}" name="8" totalsRowFunction="sum" dataDxfId="60" totalsRowDxfId="59"/>
    <tableColumn id="14" xr3:uid="{63D8B858-12A3-4A0B-A826-BE3186D9F21F}" name="9" totalsRowFunction="sum" dataDxfId="58" totalsRowDxfId="57"/>
    <tableColumn id="15" xr3:uid="{B19FFC3C-59E3-475E-8113-0CE80BFE9635}" name="10" totalsRowFunction="sum" dataDxfId="56" totalsRowDxfId="55"/>
    <tableColumn id="16" xr3:uid="{D5D68AE4-2278-40D7-BFED-A0B492731248}" name="11" totalsRowFunction="sum" dataDxfId="54" totalsRowDxfId="53"/>
    <tableColumn id="17" xr3:uid="{30651372-2451-4B32-ACB6-665FBA20F98B}" name="12" totalsRowFunction="sum" dataDxfId="52" totalsRowDxfId="51"/>
    <tableColumn id="18" xr3:uid="{D0FAAF2E-7D84-4E6B-90D7-80E1E12AFF8B}" name="13" totalsRowFunction="sum" dataDxfId="50" totalsRowDxfId="49"/>
    <tableColumn id="19" xr3:uid="{DA2E8EE3-9D9F-4FCB-B634-0F5CDF5A99C6}" name="14" totalsRowFunction="sum" dataDxfId="48" totalsRowDxfId="47"/>
    <tableColumn id="20" xr3:uid="{27F58B70-B194-47CB-B393-AB8FB149C0CD}" name="15" totalsRowFunction="sum" dataDxfId="46" totalsRowDxfId="45"/>
    <tableColumn id="21" xr3:uid="{A626272B-9B6C-49DD-B884-912D4983CB24}" name="16" totalsRowFunction="sum" dataDxfId="44" totalsRowDxfId="43"/>
    <tableColumn id="22" xr3:uid="{2D327AA4-6E26-4B2B-A188-C61BB78F1A4F}" name="17" totalsRowFunction="sum" dataDxfId="42" totalsRowDxfId="41"/>
    <tableColumn id="23" xr3:uid="{81418BDA-3722-4FD6-A1AC-D19EC0365795}" name="18" totalsRowFunction="sum" dataDxfId="40" totalsRowDxfId="39"/>
    <tableColumn id="24" xr3:uid="{748261B7-3B42-48B0-B56D-6066930E4F45}" name="19" totalsRowFunction="sum" dataDxfId="38" totalsRowDxfId="37"/>
    <tableColumn id="25" xr3:uid="{27D1FC17-EEA9-4BBA-9BF0-F488BB07BC27}" name="20" totalsRowFunction="sum" dataDxfId="36" totalsRowDxfId="35"/>
    <tableColumn id="26" xr3:uid="{CE5F7E04-EA29-476A-8C04-10311E5AA245}" name="21" totalsRowFunction="sum" dataDxfId="34" totalsRowDxfId="33"/>
    <tableColumn id="27" xr3:uid="{6A1ED293-6B3A-4F5F-878E-BC6852209689}" name="22" totalsRowFunction="sum" dataDxfId="32" totalsRowDxfId="31"/>
    <tableColumn id="28" xr3:uid="{DED4194D-2CE9-4CED-A0E1-5517221173CE}" name="23" totalsRowFunction="sum" dataDxfId="30" totalsRowDxfId="29"/>
    <tableColumn id="29" xr3:uid="{8F702A72-079F-4DDC-8889-42FF1892A8D9}" name="24" totalsRowFunction="sum" dataDxfId="28" totalsRowDxfId="27"/>
    <tableColumn id="30" xr3:uid="{952EC144-0583-4A0E-9606-7D1C67415A11}" name="25" totalsRowFunction="sum" dataDxfId="26" totalsRowDxfId="25"/>
    <tableColumn id="31" xr3:uid="{02E5AB35-203D-45F7-968D-89FFFD7605BD}" name="26" totalsRowFunction="sum" dataDxfId="24" totalsRowDxfId="23"/>
    <tableColumn id="32" xr3:uid="{74C12FEA-BDE5-479D-93E6-E783309D1823}" name="27" totalsRowFunction="sum" dataDxfId="22" totalsRowDxfId="21"/>
    <tableColumn id="33" xr3:uid="{9340BC5C-0231-47F4-BAAB-F3EC43CAB876}" name="28" totalsRowFunction="sum" dataDxfId="20" totalsRowDxfId="19"/>
    <tableColumn id="34" xr3:uid="{3EAF38D2-F687-4B74-91B5-FCEBE8F0AF14}" name="29" totalsRowFunction="sum" dataDxfId="18" totalsRowDxfId="17"/>
    <tableColumn id="35" xr3:uid="{EA5A44B8-FFE4-4939-963A-C719186ADF9D}" name="30" totalsRowFunction="sum" dataDxfId="16" totalsRowDxfId="15"/>
    <tableColumn id="36" xr3:uid="{F4FC74EA-7D3E-4BCD-81C3-3AD31C403124}" name="31" totalsRowFunction="custom" dataDxfId="14" totalsRowDxfId="13">
      <totalsRowFormula>SUBTOTAL(109,Table27[30])</totalsRowFormula>
    </tableColumn>
    <tableColumn id="38" xr3:uid="{04D5C202-3AEB-4435-9159-2F359239778C}" name="Status" dataDxfId="12" totalsRowDxfId="1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10" totalsRowDxfId="9">
      <calculatedColumnFormula>Table27[[#This Row],[Actual Hours]]/Table27[[#This Row],[Max Billable Hours]]</calculatedColumnFormula>
      <totalsRowFormula>Table27[[#Totals],[Actual Hours]]/Table27[[#Totals],[Max Billable Hours]]</totalsRowFormula>
    </tableColumn>
    <tableColumn id="41" xr3:uid="{A7212534-61E4-744E-A61C-1DF1F46E9C91}" name="cost_rate" dataDxfId="8" totalsRowDxfId="7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baseColWidth="10" defaultColWidth="8.83203125" defaultRowHeight="15" x14ac:dyDescent="0.2"/>
  <cols>
    <col min="5" max="5" width="38.1640625" bestFit="1" customWidth="1"/>
  </cols>
  <sheetData>
    <row r="2" spans="4:6" x14ac:dyDescent="0.2">
      <c r="D2" t="s">
        <v>65</v>
      </c>
    </row>
    <row r="4" spans="4:6" x14ac:dyDescent="0.2">
      <c r="D4" s="9" t="s">
        <v>66</v>
      </c>
      <c r="E4" s="9"/>
      <c r="F4" s="9"/>
    </row>
    <row r="5" spans="4:6" x14ac:dyDescent="0.2">
      <c r="D5" t="s">
        <v>59</v>
      </c>
      <c r="E5" t="s">
        <v>62</v>
      </c>
    </row>
    <row r="6" spans="4:6" x14ac:dyDescent="0.2">
      <c r="D6" t="s">
        <v>67</v>
      </c>
      <c r="E6" t="s">
        <v>63</v>
      </c>
    </row>
    <row r="7" spans="4:6" x14ac:dyDescent="0.2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S33"/>
  <sheetViews>
    <sheetView showGridLines="0" tabSelected="1" zoomScale="98" zoomScaleNormal="125" workbookViewId="0">
      <pane xSplit="11" ySplit="5" topLeftCell="AI6" activePane="bottomRight" state="frozen"/>
      <selection pane="topRight" activeCell="L1" sqref="L1"/>
      <selection pane="bottomLeft" activeCell="A6" sqref="A6"/>
      <selection pane="bottomRight" activeCell="C3" sqref="C3"/>
    </sheetView>
  </sheetViews>
  <sheetFormatPr baseColWidth="10" defaultColWidth="8.83203125" defaultRowHeight="15" x14ac:dyDescent="0.2"/>
  <cols>
    <col min="1" max="1" width="1.5" customWidth="1"/>
    <col min="2" max="2" width="16.83203125" customWidth="1"/>
    <col min="3" max="3" width="10.1640625" bestFit="1" customWidth="1"/>
    <col min="4" max="4" width="1.1640625" customWidth="1"/>
    <col min="5" max="5" width="8.5" customWidth="1"/>
    <col min="6" max="6" width="7.5" customWidth="1"/>
    <col min="7" max="7" width="12.6640625" customWidth="1"/>
    <col min="8" max="8" width="4.33203125" customWidth="1"/>
    <col min="9" max="9" width="4.6640625" customWidth="1"/>
    <col min="10" max="10" width="6.5" customWidth="1"/>
    <col min="11" max="11" width="9.33203125" customWidth="1"/>
    <col min="12" max="12" width="3.6640625" bestFit="1" customWidth="1"/>
    <col min="13" max="37" width="6.5" customWidth="1"/>
    <col min="38" max="38" width="5.5" customWidth="1"/>
    <col min="39" max="39" width="6" customWidth="1"/>
    <col min="40" max="40" width="6.33203125" customWidth="1"/>
    <col min="41" max="41" width="5.83203125" customWidth="1"/>
    <col min="42" max="42" width="5.1640625" customWidth="1"/>
    <col min="43" max="43" width="8.83203125" customWidth="1"/>
  </cols>
  <sheetData>
    <row r="1" spans="2:45" x14ac:dyDescent="0.2">
      <c r="B1" s="4" t="s">
        <v>4</v>
      </c>
      <c r="C1" s="4" t="s">
        <v>5</v>
      </c>
      <c r="E1" s="4" t="s">
        <v>6</v>
      </c>
    </row>
    <row r="2" spans="2:45" ht="28" x14ac:dyDescent="0.35">
      <c r="B2" s="5" t="s">
        <v>8</v>
      </c>
      <c r="C2" s="5">
        <v>2026</v>
      </c>
      <c r="E2" s="5" t="s">
        <v>133</v>
      </c>
      <c r="G2" s="1"/>
    </row>
    <row r="4" spans="2:45" x14ac:dyDescent="0.2">
      <c r="J4" s="8"/>
      <c r="K4" s="8"/>
      <c r="L4" s="8" t="str">
        <f>UPPER(TEXT(DATE($C$2,_xlfn.XLOOKUP($B$2,Data!$B$2:$B$13,Data!$C$2:$C$13),Table27[[#Headers],[1]]),"DDD"))</f>
        <v>THU</v>
      </c>
      <c r="M4" s="8" t="str">
        <f>UPPER(TEXT(DATE($C$2,_xlfn.XLOOKUP($B$2,Data!$B$2:$B$13,Data!$C$2:$C$13),Table27[[#Headers],[2]]),"DDD"))</f>
        <v>FRI</v>
      </c>
      <c r="N4" s="8" t="str">
        <f>UPPER(TEXT(DATE($C$2,_xlfn.XLOOKUP($B$2,Data!$B$2:$B$13,Data!$C$2:$C$13),Table27[[#Headers],[3]]),"DDD"))</f>
        <v>SAT</v>
      </c>
      <c r="O4" s="8" t="str">
        <f>UPPER(TEXT(DATE($C$2,_xlfn.XLOOKUP($B$2,Data!$B$2:$B$13,Data!$C$2:$C$13),Table27[[#Headers],[4]]),"DDD"))</f>
        <v>SUN</v>
      </c>
      <c r="P4" s="8" t="str">
        <f>UPPER(TEXT(DATE($C$2,_xlfn.XLOOKUP($B$2,Data!$B$2:$B$13,Data!$C$2:$C$13),Table27[[#Headers],[5]]),"DDD"))</f>
        <v>MON</v>
      </c>
      <c r="Q4" s="8" t="str">
        <f>UPPER(TEXT(DATE($C$2,_xlfn.XLOOKUP($B$2,Data!$B$2:$B$13,Data!$C$2:$C$13),Table27[[#Headers],[6]]),"DDD"))</f>
        <v>TUE</v>
      </c>
      <c r="R4" s="8" t="str">
        <f>UPPER(TEXT(DATE($C$2,_xlfn.XLOOKUP($B$2,Data!$B$2:$B$13,Data!$C$2:$C$13),Table27[[#Headers],[7]]),"DDD"))</f>
        <v>WED</v>
      </c>
      <c r="S4" s="8" t="str">
        <f>UPPER(TEXT(DATE($C$2,_xlfn.XLOOKUP($B$2,Data!$B$2:$B$13,Data!$C$2:$C$13),Table27[[#Headers],[8]]),"DDD"))</f>
        <v>THU</v>
      </c>
      <c r="T4" s="8" t="str">
        <f>UPPER(TEXT(DATE($C$2,_xlfn.XLOOKUP($B$2,Data!$B$2:$B$13,Data!$C$2:$C$13),Table27[[#Headers],[9]]),"DDD"))</f>
        <v>FRI</v>
      </c>
      <c r="U4" s="8" t="str">
        <f>UPPER(TEXT(DATE($C$2,_xlfn.XLOOKUP($B$2,Data!$B$2:$B$13,Data!$C$2:$C$13),Table27[[#Headers],[10]]),"DDD"))</f>
        <v>SAT</v>
      </c>
      <c r="V4" s="8" t="str">
        <f>UPPER(TEXT(DATE($C$2,_xlfn.XLOOKUP($B$2,Data!$B$2:$B$13,Data!$C$2:$C$13),Table27[[#Headers],[11]]),"DDD"))</f>
        <v>SUN</v>
      </c>
      <c r="W4" s="8" t="str">
        <f>UPPER(TEXT(DATE($C$2,_xlfn.XLOOKUP($B$2,Data!$B$2:$B$13,Data!$C$2:$C$13),Table27[[#Headers],[12]]),"DDD"))</f>
        <v>MON</v>
      </c>
      <c r="X4" s="8" t="str">
        <f>UPPER(TEXT(DATE($C$2,_xlfn.XLOOKUP($B$2,Data!$B$2:$B$13,Data!$C$2:$C$13),Table27[[#Headers],[13]]),"DDD"))</f>
        <v>TUE</v>
      </c>
      <c r="Y4" s="8" t="str">
        <f>UPPER(TEXT(DATE($C$2,_xlfn.XLOOKUP($B$2,Data!$B$2:$B$13,Data!$C$2:$C$13),Table27[[#Headers],[14]]),"DDD"))</f>
        <v>WED</v>
      </c>
      <c r="Z4" s="8" t="str">
        <f>UPPER(TEXT(DATE($C$2,_xlfn.XLOOKUP($B$2,Data!$B$2:$B$13,Data!$C$2:$C$13),Table27[[#Headers],[15]]),"DDD"))</f>
        <v>THU</v>
      </c>
      <c r="AA4" s="8" t="str">
        <f>UPPER(TEXT(DATE($C$2,_xlfn.XLOOKUP($B$2,Data!$B$2:$B$13,Data!$C$2:$C$13),Table27[[#Headers],[16]]),"DDD"))</f>
        <v>FRI</v>
      </c>
      <c r="AB4" s="8" t="str">
        <f>UPPER(TEXT(DATE($C$2,_xlfn.XLOOKUP($B$2,Data!$B$2:$B$13,Data!$C$2:$C$13),Table27[[#Headers],[17]]),"DDD"))</f>
        <v>SAT</v>
      </c>
      <c r="AC4" s="8" t="str">
        <f>UPPER(TEXT(DATE($C$2,_xlfn.XLOOKUP($B$2,Data!$B$2:$B$13,Data!$C$2:$C$13),Table27[[#Headers],[18]]),"DDD"))</f>
        <v>SUN</v>
      </c>
      <c r="AD4" s="8" t="str">
        <f>UPPER(TEXT(DATE($C$2,_xlfn.XLOOKUP($B$2,Data!$B$2:$B$13,Data!$C$2:$C$13),Table27[[#Headers],[19]]),"DDD"))</f>
        <v>MON</v>
      </c>
      <c r="AE4" s="8" t="str">
        <f>UPPER(TEXT(DATE($C$2,_xlfn.XLOOKUP($B$2,Data!$B$2:$B$13,Data!$C$2:$C$13),Table27[[#Headers],[20]]),"DDD"))</f>
        <v>TUE</v>
      </c>
      <c r="AF4" s="8" t="str">
        <f>UPPER(TEXT(DATE($C$2,_xlfn.XLOOKUP($B$2,Data!$B$2:$B$13,Data!$C$2:$C$13),Table27[[#Headers],[21]]),"DDD"))</f>
        <v>WED</v>
      </c>
      <c r="AG4" s="8" t="str">
        <f>UPPER(TEXT(DATE($C$2,_xlfn.XLOOKUP($B$2,Data!$B$2:$B$13,Data!$C$2:$C$13),Table27[[#Headers],[22]]),"DDD"))</f>
        <v>THU</v>
      </c>
      <c r="AH4" s="8" t="str">
        <f>UPPER(TEXT(DATE($C$2,_xlfn.XLOOKUP($B$2,Data!$B$2:$B$13,Data!$C$2:$C$13),Table27[[#Headers],[23]]),"DDD"))</f>
        <v>FRI</v>
      </c>
      <c r="AI4" s="8" t="str">
        <f>UPPER(TEXT(DATE($C$2,_xlfn.XLOOKUP($B$2,Data!$B$2:$B$13,Data!$C$2:$C$13),Table27[[#Headers],[24]]),"DDD"))</f>
        <v>SAT</v>
      </c>
      <c r="AJ4" s="8" t="str">
        <f>UPPER(TEXT(DATE($C$2,_xlfn.XLOOKUP($B$2,Data!$B$2:$B$13,Data!$C$2:$C$13),Table27[[#Headers],[25]]),"DDD"))</f>
        <v>SUN</v>
      </c>
      <c r="AK4" s="8" t="str">
        <f>UPPER(TEXT(DATE($C$2,_xlfn.XLOOKUP($B$2,Data!$B$2:$B$13,Data!$C$2:$C$13),Table27[[#Headers],[26]]),"DDD"))</f>
        <v>MON</v>
      </c>
      <c r="AL4" s="8" t="str">
        <f>UPPER(TEXT(DATE($C$2,_xlfn.XLOOKUP($B$2,Data!$B$2:$B$13,Data!$C$2:$C$13),Table27[[#Headers],[27]]),"DDD"))</f>
        <v>TUE</v>
      </c>
      <c r="AM4" s="8" t="str">
        <f>UPPER(TEXT(DATE($C$2,_xlfn.XLOOKUP($B$2,Data!$B$2:$B$13,Data!$C$2:$C$13),Table27[[#Headers],[28]]),"DDD"))</f>
        <v>WED</v>
      </c>
      <c r="AN4" s="8" t="str">
        <f>UPPER(TEXT(DATE($C$2,_xlfn.XLOOKUP($B$2,Data!$B$2:$B$13,Data!$C$2:$C$13),Table27[[#Headers],[29]]),"DDD"))</f>
        <v>THU</v>
      </c>
      <c r="AO4" s="8" t="str">
        <f>UPPER(TEXT(DATE($C$2,_xlfn.XLOOKUP($B$2,Data!$B$2:$B$13,Data!$C$2:$C$13),Table27[[#Headers],[30]]),"DDD"))</f>
        <v>FRI</v>
      </c>
      <c r="AP4" s="8" t="str">
        <f>UPPER(TEXT(DATE($C$2,_xlfn.XLOOKUP($B$2,Data!$B$2:$B$13,Data!$C$2:$C$13),Table27[[#Headers],[24]]),"DDD"))</f>
        <v>SAT</v>
      </c>
    </row>
    <row r="5" spans="2:45" ht="28.25" customHeight="1" x14ac:dyDescent="0.2">
      <c r="B5" s="34" t="s">
        <v>57</v>
      </c>
      <c r="C5" s="34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  <c r="AS5" s="2" t="s">
        <v>134</v>
      </c>
    </row>
    <row r="6" spans="2:45" ht="39" customHeight="1" x14ac:dyDescent="0.35">
      <c r="B6" s="35">
        <f>SUM(Table27[Final Billing Amount])</f>
        <v>48240</v>
      </c>
      <c r="C6" s="36"/>
      <c r="E6" s="20" t="s">
        <v>89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6" s="2">
        <f>IF(Table27[[#This Row],[Status]]="Active",SUM(Table27[[#This Row],[1]:[31]]),"")</f>
        <v>168</v>
      </c>
      <c r="J6" s="3">
        <v>30</v>
      </c>
      <c r="K6" s="14">
        <f>IFERROR(Table27[[#This Row],[Actual Hours]]*Table27[[#This Row],[Rate]],"")</f>
        <v>5040</v>
      </c>
      <c r="L6" s="7">
        <v>8</v>
      </c>
      <c r="M6" s="7">
        <v>8</v>
      </c>
      <c r="N6" s="7">
        <v>8</v>
      </c>
      <c r="O6" s="7">
        <v>8</v>
      </c>
      <c r="P6" s="7">
        <v>8</v>
      </c>
      <c r="Q6" s="7" t="s">
        <v>59</v>
      </c>
      <c r="R6" s="7" t="s">
        <v>59</v>
      </c>
      <c r="S6" s="7">
        <v>8</v>
      </c>
      <c r="T6" s="7">
        <v>8</v>
      </c>
      <c r="U6" s="7">
        <v>8</v>
      </c>
      <c r="V6" s="7">
        <v>8</v>
      </c>
      <c r="W6" s="7">
        <v>8</v>
      </c>
      <c r="X6" s="7" t="s">
        <v>59</v>
      </c>
      <c r="Y6" s="26" t="s">
        <v>59</v>
      </c>
      <c r="Z6" s="26">
        <v>8</v>
      </c>
      <c r="AA6" s="7">
        <v>8</v>
      </c>
      <c r="AB6" s="7" t="s">
        <v>86</v>
      </c>
      <c r="AC6" s="7">
        <v>8</v>
      </c>
      <c r="AD6" s="7">
        <v>8</v>
      </c>
      <c r="AE6" s="7" t="s">
        <v>59</v>
      </c>
      <c r="AF6" s="26" t="s">
        <v>59</v>
      </c>
      <c r="AG6" s="26">
        <v>8</v>
      </c>
      <c r="AH6" s="7">
        <v>8</v>
      </c>
      <c r="AI6" s="7">
        <v>8</v>
      </c>
      <c r="AJ6" s="7">
        <v>8</v>
      </c>
      <c r="AK6" s="7" t="s">
        <v>86</v>
      </c>
      <c r="AL6" s="7" t="s">
        <v>59</v>
      </c>
      <c r="AM6" s="26" t="s">
        <v>59</v>
      </c>
      <c r="AN6" s="26">
        <v>8</v>
      </c>
      <c r="AO6" s="7">
        <v>8</v>
      </c>
      <c r="AP6" s="7">
        <v>8</v>
      </c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  <c r="AS6" s="27">
        <v>20</v>
      </c>
    </row>
    <row r="7" spans="2:45" x14ac:dyDescent="0.2">
      <c r="B7" s="37" t="s">
        <v>56</v>
      </c>
      <c r="C7" s="37"/>
      <c r="E7" s="20" t="s">
        <v>90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25"/>
      <c r="N7" s="7">
        <v>8</v>
      </c>
      <c r="O7" s="7">
        <v>8</v>
      </c>
      <c r="P7" s="25"/>
      <c r="Q7" s="7" t="s">
        <v>59</v>
      </c>
      <c r="R7" s="7" t="s">
        <v>59</v>
      </c>
      <c r="S7" s="7">
        <v>8</v>
      </c>
      <c r="T7" s="25"/>
      <c r="U7" s="7">
        <v>8</v>
      </c>
      <c r="V7" s="7">
        <v>8</v>
      </c>
      <c r="W7" s="7">
        <v>8</v>
      </c>
      <c r="X7" s="7" t="s">
        <v>59</v>
      </c>
      <c r="Y7" s="26" t="s">
        <v>59</v>
      </c>
      <c r="Z7" s="26">
        <v>8</v>
      </c>
      <c r="AA7" s="7">
        <v>8</v>
      </c>
      <c r="AB7" s="7" t="s">
        <v>86</v>
      </c>
      <c r="AC7" s="7">
        <v>8</v>
      </c>
      <c r="AD7" s="7">
        <v>8</v>
      </c>
      <c r="AE7" s="7" t="s">
        <v>59</v>
      </c>
      <c r="AF7" s="26" t="s">
        <v>59</v>
      </c>
      <c r="AG7" s="26">
        <v>8</v>
      </c>
      <c r="AH7" s="7">
        <v>8</v>
      </c>
      <c r="AI7" s="7">
        <v>8</v>
      </c>
      <c r="AJ7" s="7">
        <v>8</v>
      </c>
      <c r="AK7" s="7" t="s">
        <v>86</v>
      </c>
      <c r="AL7" s="7" t="s">
        <v>59</v>
      </c>
      <c r="AM7" s="26" t="s">
        <v>59</v>
      </c>
      <c r="AN7" s="26">
        <v>8</v>
      </c>
      <c r="AO7" s="7">
        <v>8</v>
      </c>
      <c r="AP7" s="7">
        <v>8</v>
      </c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  <c r="AS7" s="27">
        <v>20</v>
      </c>
    </row>
    <row r="8" spans="2:45" x14ac:dyDescent="0.2">
      <c r="B8" s="19"/>
      <c r="C8" s="19"/>
      <c r="E8" s="20" t="s">
        <v>91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8" s="2">
        <f>IF(Table27[[#This Row],[Status]]="Active",SUM(Table27[[#This Row],[1]:[31]]),"")</f>
        <v>144</v>
      </c>
      <c r="J8" s="3">
        <v>34</v>
      </c>
      <c r="K8" s="14">
        <f>IFERROR(Table27[[#This Row],[Actual Hours]]*Table27[[#This Row],[Rate]],"")</f>
        <v>4896</v>
      </c>
      <c r="L8" s="7">
        <v>8</v>
      </c>
      <c r="M8" s="7">
        <v>8</v>
      </c>
      <c r="N8" s="7">
        <v>8</v>
      </c>
      <c r="O8" s="7">
        <v>8</v>
      </c>
      <c r="P8" s="7">
        <v>8</v>
      </c>
      <c r="Q8" s="7" t="s">
        <v>59</v>
      </c>
      <c r="R8" s="7" t="s">
        <v>59</v>
      </c>
      <c r="S8" s="7">
        <v>8</v>
      </c>
      <c r="T8" s="7">
        <v>8</v>
      </c>
      <c r="U8" s="7">
        <v>8</v>
      </c>
      <c r="V8" s="7">
        <v>8</v>
      </c>
      <c r="W8" s="7">
        <v>8</v>
      </c>
      <c r="X8" s="7" t="s">
        <v>59</v>
      </c>
      <c r="Y8" s="26" t="s">
        <v>59</v>
      </c>
      <c r="Z8" s="26">
        <v>8</v>
      </c>
      <c r="AA8" s="25"/>
      <c r="AB8" s="7" t="s">
        <v>86</v>
      </c>
      <c r="AC8" s="7">
        <v>8</v>
      </c>
      <c r="AD8" s="25"/>
      <c r="AE8" s="7" t="s">
        <v>59</v>
      </c>
      <c r="AF8" s="26" t="s">
        <v>59</v>
      </c>
      <c r="AG8" s="26">
        <v>8</v>
      </c>
      <c r="AH8" s="25"/>
      <c r="AI8" s="7">
        <v>8</v>
      </c>
      <c r="AJ8" s="7">
        <v>8</v>
      </c>
      <c r="AK8" s="7" t="s">
        <v>86</v>
      </c>
      <c r="AL8" s="7" t="s">
        <v>59</v>
      </c>
      <c r="AM8" s="26" t="s">
        <v>59</v>
      </c>
      <c r="AN8" s="26">
        <v>8</v>
      </c>
      <c r="AO8" s="7">
        <v>8</v>
      </c>
      <c r="AP8" s="7">
        <v>8</v>
      </c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  <c r="AS8" s="27">
        <v>30</v>
      </c>
    </row>
    <row r="9" spans="2:45" x14ac:dyDescent="0.2">
      <c r="B9" s="38">
        <f>SUM(Table27[Max Billable Hours])</f>
        <v>1616</v>
      </c>
      <c r="C9" s="38"/>
      <c r="E9" s="20" t="s">
        <v>92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>
        <v>2</v>
      </c>
      <c r="N9" s="7">
        <v>8</v>
      </c>
      <c r="O9" s="7">
        <v>8</v>
      </c>
      <c r="P9" s="7">
        <v>2</v>
      </c>
      <c r="Q9" s="7" t="s">
        <v>59</v>
      </c>
      <c r="R9" s="7" t="s">
        <v>59</v>
      </c>
      <c r="S9" s="7">
        <v>8</v>
      </c>
      <c r="T9" s="7">
        <v>2</v>
      </c>
      <c r="U9" s="7">
        <v>8</v>
      </c>
      <c r="V9" s="7">
        <v>8</v>
      </c>
      <c r="W9" s="7">
        <v>2</v>
      </c>
      <c r="X9" s="7" t="s">
        <v>59</v>
      </c>
      <c r="Y9" s="26" t="s">
        <v>59</v>
      </c>
      <c r="Z9" s="26">
        <v>8</v>
      </c>
      <c r="AA9" s="7">
        <v>2</v>
      </c>
      <c r="AB9" s="7" t="s">
        <v>86</v>
      </c>
      <c r="AC9" s="7">
        <v>8</v>
      </c>
      <c r="AD9" s="7">
        <v>2</v>
      </c>
      <c r="AE9" s="7" t="s">
        <v>59</v>
      </c>
      <c r="AF9" s="26" t="s">
        <v>59</v>
      </c>
      <c r="AG9" s="26">
        <v>8</v>
      </c>
      <c r="AH9" s="7">
        <v>2</v>
      </c>
      <c r="AI9" s="7">
        <v>8</v>
      </c>
      <c r="AJ9" s="7">
        <v>8</v>
      </c>
      <c r="AK9" s="7" t="s">
        <v>86</v>
      </c>
      <c r="AL9" s="7" t="s">
        <v>59</v>
      </c>
      <c r="AM9" s="26" t="s">
        <v>59</v>
      </c>
      <c r="AN9" s="26">
        <v>8</v>
      </c>
      <c r="AO9" s="7">
        <v>8</v>
      </c>
      <c r="AP9" s="7">
        <v>8</v>
      </c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  <c r="AS9" s="27">
        <v>20</v>
      </c>
    </row>
    <row r="10" spans="2:45" x14ac:dyDescent="0.2">
      <c r="B10" s="38"/>
      <c r="C10" s="38"/>
      <c r="E10" s="20" t="s">
        <v>93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>
        <v>8</v>
      </c>
      <c r="N10" s="7">
        <v>8</v>
      </c>
      <c r="O10" s="7">
        <v>8</v>
      </c>
      <c r="P10" s="7">
        <v>8</v>
      </c>
      <c r="Q10" s="7" t="s">
        <v>59</v>
      </c>
      <c r="R10" s="7" t="s">
        <v>59</v>
      </c>
      <c r="S10" s="7">
        <v>8</v>
      </c>
      <c r="T10" s="7">
        <v>8</v>
      </c>
      <c r="U10" s="7">
        <v>8</v>
      </c>
      <c r="V10" s="7">
        <v>8</v>
      </c>
      <c r="W10" s="7">
        <v>8</v>
      </c>
      <c r="X10" s="7" t="s">
        <v>59</v>
      </c>
      <c r="Y10" s="26" t="s">
        <v>59</v>
      </c>
      <c r="Z10" s="26">
        <v>8</v>
      </c>
      <c r="AA10" s="7">
        <v>8</v>
      </c>
      <c r="AB10" s="7" t="s">
        <v>86</v>
      </c>
      <c r="AC10" s="7">
        <v>8</v>
      </c>
      <c r="AD10" s="7">
        <v>8</v>
      </c>
      <c r="AE10" s="7" t="s">
        <v>59</v>
      </c>
      <c r="AF10" s="26" t="s">
        <v>59</v>
      </c>
      <c r="AG10" s="26">
        <v>8</v>
      </c>
      <c r="AH10" s="7">
        <v>8</v>
      </c>
      <c r="AI10" s="7">
        <v>8</v>
      </c>
      <c r="AJ10" s="7">
        <v>8</v>
      </c>
      <c r="AK10" s="7" t="s">
        <v>86</v>
      </c>
      <c r="AL10" s="7" t="s">
        <v>59</v>
      </c>
      <c r="AM10" s="26" t="s">
        <v>59</v>
      </c>
      <c r="AN10" s="26">
        <v>8</v>
      </c>
      <c r="AO10" s="7">
        <v>8</v>
      </c>
      <c r="AP10" s="7">
        <v>8</v>
      </c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  <c r="AS10" s="27">
        <v>25</v>
      </c>
    </row>
    <row r="11" spans="2:45" x14ac:dyDescent="0.2">
      <c r="B11" s="38"/>
      <c r="C11" s="38"/>
      <c r="E11" s="20" t="s">
        <v>94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1" s="2">
        <f>IF(Table27[[#This Row],[Status]]="Active",SUM(Table27[[#This Row],[1]:[31]]),"")</f>
        <v>168</v>
      </c>
      <c r="J11" s="3">
        <v>30</v>
      </c>
      <c r="K11" s="14">
        <f>IFERROR(Table27[[#This Row],[Actual Hours]]*Table27[[#This Row],[Rate]],"")</f>
        <v>5040</v>
      </c>
      <c r="L11" s="7">
        <v>8</v>
      </c>
      <c r="M11" s="7">
        <v>8</v>
      </c>
      <c r="N11" s="7">
        <v>8</v>
      </c>
      <c r="O11" s="7">
        <v>8</v>
      </c>
      <c r="P11" s="7">
        <v>8</v>
      </c>
      <c r="Q11" s="7" t="s">
        <v>59</v>
      </c>
      <c r="R11" s="7" t="s">
        <v>59</v>
      </c>
      <c r="S11" s="7">
        <v>8</v>
      </c>
      <c r="T11" s="7">
        <v>8</v>
      </c>
      <c r="U11" s="7">
        <v>8</v>
      </c>
      <c r="V11" s="7">
        <v>8</v>
      </c>
      <c r="W11" s="7">
        <v>8</v>
      </c>
      <c r="X11" s="7" t="s">
        <v>59</v>
      </c>
      <c r="Y11" s="26" t="s">
        <v>59</v>
      </c>
      <c r="Z11" s="26">
        <v>8</v>
      </c>
      <c r="AA11" s="7">
        <v>8</v>
      </c>
      <c r="AB11" s="7" t="s">
        <v>86</v>
      </c>
      <c r="AC11" s="7">
        <v>8</v>
      </c>
      <c r="AD11" s="7">
        <v>8</v>
      </c>
      <c r="AE11" s="7" t="s">
        <v>59</v>
      </c>
      <c r="AF11" s="26" t="s">
        <v>59</v>
      </c>
      <c r="AG11" s="26">
        <v>8</v>
      </c>
      <c r="AH11" s="7">
        <v>8</v>
      </c>
      <c r="AI11" s="7">
        <v>8</v>
      </c>
      <c r="AJ11" s="7">
        <v>8</v>
      </c>
      <c r="AK11" s="7" t="s">
        <v>86</v>
      </c>
      <c r="AL11" s="7" t="s">
        <v>59</v>
      </c>
      <c r="AM11" s="26" t="s">
        <v>59</v>
      </c>
      <c r="AN11" s="26">
        <v>8</v>
      </c>
      <c r="AO11" s="7">
        <v>8</v>
      </c>
      <c r="AP11" s="7">
        <v>8</v>
      </c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1</v>
      </c>
      <c r="AS11" s="27">
        <v>23</v>
      </c>
    </row>
    <row r="12" spans="2:45" x14ac:dyDescent="0.2">
      <c r="B12" s="38"/>
      <c r="C12" s="38"/>
      <c r="E12" s="20" t="s">
        <v>95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2" s="2">
        <f>IF(Table27[[#This Row],[Status]]="Active",SUM(Table27[[#This Row],[1]:[31]]),"")</f>
        <v>160</v>
      </c>
      <c r="J12" s="3">
        <v>28</v>
      </c>
      <c r="K12" s="14">
        <f>IFERROR(Table27[[#This Row],[Actual Hours]]*Table27[[#This Row],[Rate]],"")</f>
        <v>4480</v>
      </c>
      <c r="L12" s="7">
        <v>8</v>
      </c>
      <c r="M12" s="7" t="s">
        <v>67</v>
      </c>
      <c r="N12" s="7">
        <v>8</v>
      </c>
      <c r="O12" s="7">
        <v>8</v>
      </c>
      <c r="P12" s="7">
        <v>8</v>
      </c>
      <c r="Q12" s="7" t="s">
        <v>59</v>
      </c>
      <c r="R12" s="7" t="s">
        <v>59</v>
      </c>
      <c r="S12" s="7">
        <v>8</v>
      </c>
      <c r="T12" s="7">
        <v>8</v>
      </c>
      <c r="U12" s="7">
        <v>8</v>
      </c>
      <c r="V12" s="7">
        <v>8</v>
      </c>
      <c r="W12" s="7">
        <v>8</v>
      </c>
      <c r="X12" s="7" t="s">
        <v>59</v>
      </c>
      <c r="Y12" s="26" t="s">
        <v>59</v>
      </c>
      <c r="Z12" s="26">
        <v>8</v>
      </c>
      <c r="AA12" s="7">
        <v>8</v>
      </c>
      <c r="AB12" s="7" t="s">
        <v>86</v>
      </c>
      <c r="AC12" s="7">
        <v>8</v>
      </c>
      <c r="AD12" s="7">
        <v>8</v>
      </c>
      <c r="AE12" s="7" t="s">
        <v>59</v>
      </c>
      <c r="AF12" s="26" t="s">
        <v>59</v>
      </c>
      <c r="AG12" s="26">
        <v>8</v>
      </c>
      <c r="AH12" s="7">
        <v>8</v>
      </c>
      <c r="AI12" s="7">
        <v>8</v>
      </c>
      <c r="AJ12" s="7">
        <v>8</v>
      </c>
      <c r="AK12" s="7" t="s">
        <v>86</v>
      </c>
      <c r="AL12" s="7" t="s">
        <v>59</v>
      </c>
      <c r="AM12" s="26" t="s">
        <v>59</v>
      </c>
      <c r="AN12" s="26">
        <v>8</v>
      </c>
      <c r="AO12" s="7">
        <v>8</v>
      </c>
      <c r="AP12" s="7">
        <v>8</v>
      </c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0.95238095238095233</v>
      </c>
      <c r="AS12" s="27">
        <v>19</v>
      </c>
    </row>
    <row r="13" spans="2:45" x14ac:dyDescent="0.2">
      <c r="B13" s="38"/>
      <c r="C13" s="38"/>
      <c r="E13" s="20" t="s">
        <v>96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3" s="2">
        <f>IF(Table27[[#This Row],[Status]]="Active",SUM(Table27[[#This Row],[1]:[31]]),"")</f>
        <v>160</v>
      </c>
      <c r="J13" s="3">
        <v>32</v>
      </c>
      <c r="K13" s="14">
        <f>IFERROR(Table27[[#This Row],[Actual Hours]]*Table27[[#This Row],[Rate]],"")</f>
        <v>5120</v>
      </c>
      <c r="L13" s="7">
        <v>8</v>
      </c>
      <c r="M13" s="7">
        <v>8</v>
      </c>
      <c r="N13" s="7">
        <v>8</v>
      </c>
      <c r="O13" s="7">
        <v>8</v>
      </c>
      <c r="P13" s="7">
        <v>8</v>
      </c>
      <c r="Q13" s="7" t="s">
        <v>59</v>
      </c>
      <c r="R13" s="7" t="s">
        <v>59</v>
      </c>
      <c r="S13" s="7">
        <v>8</v>
      </c>
      <c r="T13" s="7" t="s">
        <v>67</v>
      </c>
      <c r="U13" s="7">
        <v>8</v>
      </c>
      <c r="V13" s="7">
        <v>8</v>
      </c>
      <c r="W13" s="7">
        <v>8</v>
      </c>
      <c r="X13" s="7" t="s">
        <v>59</v>
      </c>
      <c r="Y13" s="26" t="s">
        <v>59</v>
      </c>
      <c r="Z13" s="26">
        <v>8</v>
      </c>
      <c r="AA13" s="7">
        <v>8</v>
      </c>
      <c r="AB13" s="7" t="s">
        <v>86</v>
      </c>
      <c r="AC13" s="7">
        <v>8</v>
      </c>
      <c r="AD13" s="7">
        <v>8</v>
      </c>
      <c r="AE13" s="7" t="s">
        <v>59</v>
      </c>
      <c r="AF13" s="26" t="s">
        <v>59</v>
      </c>
      <c r="AG13" s="26">
        <v>8</v>
      </c>
      <c r="AH13" s="7">
        <v>8</v>
      </c>
      <c r="AI13" s="7">
        <v>8</v>
      </c>
      <c r="AJ13" s="7">
        <v>8</v>
      </c>
      <c r="AK13" s="7" t="s">
        <v>86</v>
      </c>
      <c r="AL13" s="7" t="s">
        <v>59</v>
      </c>
      <c r="AM13" s="26" t="s">
        <v>59</v>
      </c>
      <c r="AN13" s="26">
        <v>8</v>
      </c>
      <c r="AO13" s="7">
        <v>8</v>
      </c>
      <c r="AP13" s="7">
        <v>8</v>
      </c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0.95238095238095233</v>
      </c>
      <c r="AS13" s="27">
        <v>23</v>
      </c>
    </row>
    <row r="14" spans="2:45" x14ac:dyDescent="0.2">
      <c r="B14" s="38"/>
      <c r="C14" s="38"/>
      <c r="E14" s="20" t="s">
        <v>97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>
        <v>8</v>
      </c>
      <c r="N14" s="7">
        <v>8</v>
      </c>
      <c r="O14" s="7">
        <v>8</v>
      </c>
      <c r="P14" s="7">
        <v>8</v>
      </c>
      <c r="Q14" s="7" t="s">
        <v>59</v>
      </c>
      <c r="R14" s="7" t="s">
        <v>59</v>
      </c>
      <c r="S14" s="7">
        <v>8</v>
      </c>
      <c r="T14" s="7">
        <v>8</v>
      </c>
      <c r="U14" s="7">
        <v>8</v>
      </c>
      <c r="V14" s="7">
        <v>8</v>
      </c>
      <c r="W14" s="7">
        <v>8</v>
      </c>
      <c r="X14" s="7" t="s">
        <v>59</v>
      </c>
      <c r="Y14" s="26" t="s">
        <v>59</v>
      </c>
      <c r="Z14" s="26">
        <v>8</v>
      </c>
      <c r="AA14" s="7">
        <v>8</v>
      </c>
      <c r="AB14" s="7" t="s">
        <v>86</v>
      </c>
      <c r="AC14" s="7">
        <v>8</v>
      </c>
      <c r="AD14" s="7">
        <v>8</v>
      </c>
      <c r="AE14" s="7" t="s">
        <v>59</v>
      </c>
      <c r="AF14" s="26" t="s">
        <v>59</v>
      </c>
      <c r="AG14" s="26">
        <v>8</v>
      </c>
      <c r="AH14" s="7">
        <v>8</v>
      </c>
      <c r="AI14" s="7">
        <v>8</v>
      </c>
      <c r="AJ14" s="7">
        <v>8</v>
      </c>
      <c r="AK14" s="7" t="s">
        <v>86</v>
      </c>
      <c r="AL14" s="7" t="s">
        <v>59</v>
      </c>
      <c r="AM14" s="26" t="s">
        <v>59</v>
      </c>
      <c r="AN14" s="26">
        <v>8</v>
      </c>
      <c r="AO14" s="7">
        <v>8</v>
      </c>
      <c r="AP14" s="7">
        <v>8</v>
      </c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  <c r="AS14" s="27">
        <v>26</v>
      </c>
    </row>
    <row r="15" spans="2:45" x14ac:dyDescent="0.2">
      <c r="B15" s="38"/>
      <c r="C15" s="38"/>
      <c r="E15" s="20" t="s">
        <v>98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5" s="2">
        <f>IF(Table27[[#This Row],[Status]]="Active",SUM(Table27[[#This Row],[1]:[31]]),"")</f>
        <v>168</v>
      </c>
      <c r="J15" s="3">
        <v>30</v>
      </c>
      <c r="K15" s="14">
        <f>IFERROR(Table27[[#This Row],[Actual Hours]]*Table27[[#This Row],[Rate]],"")</f>
        <v>5040</v>
      </c>
      <c r="L15" s="7">
        <v>8</v>
      </c>
      <c r="M15" s="7">
        <v>8</v>
      </c>
      <c r="N15" s="7">
        <v>8</v>
      </c>
      <c r="O15" s="7">
        <v>8</v>
      </c>
      <c r="P15" s="7">
        <v>8</v>
      </c>
      <c r="Q15" s="7" t="s">
        <v>59</v>
      </c>
      <c r="R15" s="7" t="s">
        <v>59</v>
      </c>
      <c r="S15" s="7">
        <v>8</v>
      </c>
      <c r="T15" s="7">
        <v>8</v>
      </c>
      <c r="U15" s="7">
        <v>8</v>
      </c>
      <c r="V15" s="7">
        <v>8</v>
      </c>
      <c r="W15" s="7">
        <v>8</v>
      </c>
      <c r="X15" s="7" t="s">
        <v>59</v>
      </c>
      <c r="Y15" s="26" t="s">
        <v>59</v>
      </c>
      <c r="Z15" s="26">
        <v>8</v>
      </c>
      <c r="AA15" s="7">
        <v>8</v>
      </c>
      <c r="AB15" s="7" t="s">
        <v>86</v>
      </c>
      <c r="AC15" s="7">
        <v>8</v>
      </c>
      <c r="AD15" s="7">
        <v>8</v>
      </c>
      <c r="AE15" s="7" t="s">
        <v>59</v>
      </c>
      <c r="AF15" s="26" t="s">
        <v>59</v>
      </c>
      <c r="AG15" s="26">
        <v>8</v>
      </c>
      <c r="AH15" s="7">
        <v>8</v>
      </c>
      <c r="AI15" s="7">
        <v>8</v>
      </c>
      <c r="AJ15" s="7">
        <v>8</v>
      </c>
      <c r="AK15" s="7" t="s">
        <v>86</v>
      </c>
      <c r="AL15" s="7" t="s">
        <v>59</v>
      </c>
      <c r="AM15" s="26" t="s">
        <v>59</v>
      </c>
      <c r="AN15" s="26">
        <v>8</v>
      </c>
      <c r="AO15" s="7">
        <v>8</v>
      </c>
      <c r="AP15" s="7">
        <v>8</v>
      </c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  <c r="AS15" s="27">
        <v>29</v>
      </c>
    </row>
    <row r="16" spans="2:45" x14ac:dyDescent="0.2">
      <c r="B16" s="38"/>
      <c r="C16" s="38"/>
      <c r="E16" s="20" t="s">
        <v>99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6" s="2">
        <f>IF(Table27[[#This Row],[Status]]="Active",SUM(Table27[[#This Row],[1]:[31]]),"")</f>
        <v>168</v>
      </c>
      <c r="J16" s="3">
        <v>28</v>
      </c>
      <c r="K16" s="14">
        <f>IFERROR(Table27[[#This Row],[Actual Hours]]*Table27[[#This Row],[Rate]],"")</f>
        <v>4704</v>
      </c>
      <c r="L16" s="7">
        <v>8</v>
      </c>
      <c r="M16" s="7">
        <v>8</v>
      </c>
      <c r="N16" s="7">
        <v>8</v>
      </c>
      <c r="O16" s="7">
        <v>8</v>
      </c>
      <c r="P16" s="7">
        <v>8</v>
      </c>
      <c r="Q16" s="7" t="s">
        <v>59</v>
      </c>
      <c r="R16" s="7" t="s">
        <v>59</v>
      </c>
      <c r="S16" s="7">
        <v>8</v>
      </c>
      <c r="T16" s="7">
        <v>8</v>
      </c>
      <c r="U16" s="7">
        <v>8</v>
      </c>
      <c r="V16" s="7">
        <v>8</v>
      </c>
      <c r="W16" s="7">
        <v>8</v>
      </c>
      <c r="X16" s="7" t="s">
        <v>59</v>
      </c>
      <c r="Y16" s="26" t="s">
        <v>59</v>
      </c>
      <c r="Z16" s="26">
        <v>8</v>
      </c>
      <c r="AA16" s="7">
        <v>8</v>
      </c>
      <c r="AB16" s="7" t="s">
        <v>86</v>
      </c>
      <c r="AC16" s="7">
        <v>8</v>
      </c>
      <c r="AD16" s="7">
        <v>8</v>
      </c>
      <c r="AE16" s="7" t="s">
        <v>59</v>
      </c>
      <c r="AF16" s="26" t="s">
        <v>59</v>
      </c>
      <c r="AG16" s="26">
        <v>8</v>
      </c>
      <c r="AH16" s="7">
        <v>8</v>
      </c>
      <c r="AI16" s="7">
        <v>8</v>
      </c>
      <c r="AJ16" s="7">
        <v>8</v>
      </c>
      <c r="AK16" s="7" t="s">
        <v>86</v>
      </c>
      <c r="AL16" s="7" t="s">
        <v>59</v>
      </c>
      <c r="AM16" s="26" t="s">
        <v>59</v>
      </c>
      <c r="AN16" s="26">
        <v>8</v>
      </c>
      <c r="AO16" s="7">
        <v>8</v>
      </c>
      <c r="AP16" s="7">
        <v>8</v>
      </c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  <c r="AS16" s="27">
        <v>19</v>
      </c>
    </row>
    <row r="17" spans="2:45" x14ac:dyDescent="0.2">
      <c r="B17" s="38"/>
      <c r="C17" s="38"/>
      <c r="E17" s="20" t="s">
        <v>100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128</v>
      </c>
      <c r="I17" s="2">
        <f>IF(Table27[[#This Row],[Status]]="Active",SUM(Table27[[#This Row],[1]:[31]]),"")</f>
        <v>128</v>
      </c>
      <c r="J17" s="3">
        <v>30</v>
      </c>
      <c r="K17" s="14">
        <f>IFERROR(Table27[[#This Row],[Actual Hours]]*Table27[[#This Row],[Rate]],"")</f>
        <v>3840</v>
      </c>
      <c r="L17" s="7">
        <v>8</v>
      </c>
      <c r="M17" s="25"/>
      <c r="N17" s="7">
        <v>8</v>
      </c>
      <c r="O17" s="7">
        <v>8</v>
      </c>
      <c r="P17" s="25"/>
      <c r="Q17" s="7" t="s">
        <v>59</v>
      </c>
      <c r="R17" s="7" t="s">
        <v>59</v>
      </c>
      <c r="S17" s="7">
        <v>8</v>
      </c>
      <c r="T17" s="25"/>
      <c r="U17" s="7">
        <v>8</v>
      </c>
      <c r="V17" s="7">
        <v>8</v>
      </c>
      <c r="W17" s="25"/>
      <c r="X17" s="7" t="s">
        <v>59</v>
      </c>
      <c r="Y17" s="26" t="s">
        <v>59</v>
      </c>
      <c r="Z17" s="26">
        <v>8</v>
      </c>
      <c r="AA17" s="25"/>
      <c r="AB17" s="7" t="s">
        <v>86</v>
      </c>
      <c r="AC17" s="7">
        <v>8</v>
      </c>
      <c r="AD17" s="7">
        <v>8</v>
      </c>
      <c r="AE17" s="7" t="s">
        <v>59</v>
      </c>
      <c r="AF17" s="26" t="s">
        <v>59</v>
      </c>
      <c r="AG17" s="26">
        <v>8</v>
      </c>
      <c r="AH17" s="7">
        <v>8</v>
      </c>
      <c r="AI17" s="7">
        <v>8</v>
      </c>
      <c r="AJ17" s="7">
        <v>8</v>
      </c>
      <c r="AK17" s="7" t="s">
        <v>86</v>
      </c>
      <c r="AL17" s="7" t="s">
        <v>59</v>
      </c>
      <c r="AM17" s="26" t="s">
        <v>59</v>
      </c>
      <c r="AN17" s="26">
        <v>8</v>
      </c>
      <c r="AO17" s="7">
        <v>8</v>
      </c>
      <c r="AP17" s="7">
        <v>8</v>
      </c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  <c r="AS17" s="27">
        <v>25</v>
      </c>
    </row>
    <row r="18" spans="2:45" x14ac:dyDescent="0.2">
      <c r="B18" s="38"/>
      <c r="C18" s="38"/>
      <c r="E18" s="20" t="s">
        <v>101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8" s="2">
        <f>IF(Table27[[#This Row],[Status]]="Active",SUM(Table27[[#This Row],[1]:[31]]),"")</f>
        <v>168</v>
      </c>
      <c r="J18" s="3">
        <v>30</v>
      </c>
      <c r="K18" s="14">
        <f>IFERROR(Table27[[#This Row],[Actual Hours]]*Table27[[#This Row],[Rate]],"")</f>
        <v>5040</v>
      </c>
      <c r="L18" s="7">
        <v>8</v>
      </c>
      <c r="M18" s="7">
        <v>8</v>
      </c>
      <c r="N18" s="7">
        <v>8</v>
      </c>
      <c r="O18" s="7">
        <v>8</v>
      </c>
      <c r="P18" s="7">
        <v>8</v>
      </c>
      <c r="Q18" s="7" t="s">
        <v>59</v>
      </c>
      <c r="R18" s="7" t="s">
        <v>59</v>
      </c>
      <c r="S18" s="7">
        <v>8</v>
      </c>
      <c r="T18" s="7">
        <v>8</v>
      </c>
      <c r="U18" s="7">
        <v>8</v>
      </c>
      <c r="V18" s="7">
        <v>8</v>
      </c>
      <c r="W18" s="7">
        <v>8</v>
      </c>
      <c r="X18" s="7" t="s">
        <v>59</v>
      </c>
      <c r="Y18" s="26" t="s">
        <v>59</v>
      </c>
      <c r="Z18" s="26">
        <v>8</v>
      </c>
      <c r="AA18" s="7">
        <v>8</v>
      </c>
      <c r="AB18" s="7" t="s">
        <v>86</v>
      </c>
      <c r="AC18" s="7">
        <v>8</v>
      </c>
      <c r="AD18" s="7">
        <v>8</v>
      </c>
      <c r="AE18" s="7" t="s">
        <v>59</v>
      </c>
      <c r="AF18" s="26" t="s">
        <v>59</v>
      </c>
      <c r="AG18" s="26">
        <v>8</v>
      </c>
      <c r="AH18" s="7">
        <v>8</v>
      </c>
      <c r="AI18" s="7">
        <v>8</v>
      </c>
      <c r="AJ18" s="7">
        <v>8</v>
      </c>
      <c r="AK18" s="7" t="s">
        <v>86</v>
      </c>
      <c r="AL18" s="7" t="s">
        <v>59</v>
      </c>
      <c r="AM18" s="26" t="s">
        <v>59</v>
      </c>
      <c r="AN18" s="26">
        <v>8</v>
      </c>
      <c r="AO18" s="7">
        <v>8</v>
      </c>
      <c r="AP18" s="7">
        <v>8</v>
      </c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1</v>
      </c>
      <c r="AS18" s="27">
        <v>17</v>
      </c>
    </row>
    <row r="19" spans="2:45" x14ac:dyDescent="0.2">
      <c r="B19" s="38"/>
      <c r="C19" s="38"/>
      <c r="E19" s="20" t="s">
        <v>102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9" s="2">
        <f>IF(Table27[[#This Row],[Status]]="Active",SUM(Table27[[#This Row],[1]:[31]]),"")</f>
        <v>168</v>
      </c>
      <c r="J19" s="3">
        <v>30</v>
      </c>
      <c r="K19" s="14">
        <f>IFERROR(Table27[[#This Row],[Actual Hours]]*Table27[[#This Row],[Rate]],"")</f>
        <v>5040</v>
      </c>
      <c r="L19" s="7">
        <v>8</v>
      </c>
      <c r="M19" s="7">
        <v>8</v>
      </c>
      <c r="N19" s="7">
        <v>8</v>
      </c>
      <c r="O19" s="7">
        <v>8</v>
      </c>
      <c r="P19" s="7">
        <v>8</v>
      </c>
      <c r="Q19" s="7" t="s">
        <v>59</v>
      </c>
      <c r="R19" s="7" t="s">
        <v>59</v>
      </c>
      <c r="S19" s="7">
        <v>8</v>
      </c>
      <c r="T19" s="7">
        <v>8</v>
      </c>
      <c r="U19" s="7">
        <v>8</v>
      </c>
      <c r="V19" s="7">
        <v>8</v>
      </c>
      <c r="W19" s="7">
        <v>8</v>
      </c>
      <c r="X19" s="7" t="s">
        <v>59</v>
      </c>
      <c r="Y19" s="26" t="s">
        <v>59</v>
      </c>
      <c r="Z19" s="26">
        <v>8</v>
      </c>
      <c r="AA19" s="7">
        <v>8</v>
      </c>
      <c r="AB19" s="7" t="s">
        <v>86</v>
      </c>
      <c r="AC19" s="7">
        <v>8</v>
      </c>
      <c r="AD19" s="7">
        <v>8</v>
      </c>
      <c r="AE19" s="7" t="s">
        <v>59</v>
      </c>
      <c r="AF19" s="26" t="s">
        <v>59</v>
      </c>
      <c r="AG19" s="26">
        <v>8</v>
      </c>
      <c r="AH19" s="7">
        <v>8</v>
      </c>
      <c r="AI19" s="7">
        <v>8</v>
      </c>
      <c r="AJ19" s="7">
        <v>8</v>
      </c>
      <c r="AK19" s="7" t="s">
        <v>86</v>
      </c>
      <c r="AL19" s="7" t="s">
        <v>59</v>
      </c>
      <c r="AM19" s="26" t="s">
        <v>59</v>
      </c>
      <c r="AN19" s="26">
        <v>8</v>
      </c>
      <c r="AO19" s="7">
        <v>8</v>
      </c>
      <c r="AP19" s="7">
        <v>8</v>
      </c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  <c r="AS19" s="27">
        <v>20</v>
      </c>
    </row>
    <row r="20" spans="2:45" x14ac:dyDescent="0.2">
      <c r="B20" s="38"/>
      <c r="C20" s="38"/>
      <c r="E20" s="20" t="s">
        <v>103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>
        <v>8</v>
      </c>
      <c r="N20" s="7">
        <v>8</v>
      </c>
      <c r="O20" s="7">
        <v>8</v>
      </c>
      <c r="P20" s="7">
        <v>8</v>
      </c>
      <c r="Q20" s="7" t="s">
        <v>59</v>
      </c>
      <c r="R20" s="7" t="s">
        <v>59</v>
      </c>
      <c r="S20" s="7">
        <v>8</v>
      </c>
      <c r="T20" s="7">
        <v>8</v>
      </c>
      <c r="U20" s="7">
        <v>8</v>
      </c>
      <c r="V20" s="7">
        <v>8</v>
      </c>
      <c r="W20" s="7">
        <v>8</v>
      </c>
      <c r="X20" s="7" t="s">
        <v>59</v>
      </c>
      <c r="Y20" s="26" t="s">
        <v>59</v>
      </c>
      <c r="Z20" s="26">
        <v>8</v>
      </c>
      <c r="AA20" s="7">
        <v>8</v>
      </c>
      <c r="AB20" s="7" t="s">
        <v>86</v>
      </c>
      <c r="AC20" s="7">
        <v>8</v>
      </c>
      <c r="AD20" s="7">
        <v>8</v>
      </c>
      <c r="AE20" s="7" t="s">
        <v>59</v>
      </c>
      <c r="AF20" s="26" t="s">
        <v>59</v>
      </c>
      <c r="AG20" s="26">
        <v>8</v>
      </c>
      <c r="AH20" s="7">
        <v>8</v>
      </c>
      <c r="AI20" s="7">
        <v>8</v>
      </c>
      <c r="AJ20" s="7">
        <v>8</v>
      </c>
      <c r="AK20" s="7" t="s">
        <v>86</v>
      </c>
      <c r="AL20" s="7" t="s">
        <v>59</v>
      </c>
      <c r="AM20" s="26" t="s">
        <v>59</v>
      </c>
      <c r="AN20" s="26">
        <v>8</v>
      </c>
      <c r="AO20" s="7">
        <v>8</v>
      </c>
      <c r="AP20" s="7">
        <v>8</v>
      </c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  <c r="AS20" s="27">
        <v>20</v>
      </c>
    </row>
    <row r="21" spans="2:45" x14ac:dyDescent="0.2">
      <c r="B21" s="38"/>
      <c r="C21" s="38"/>
      <c r="E21" s="10"/>
      <c r="F21" s="10"/>
      <c r="G21" s="2" t="s">
        <v>58</v>
      </c>
      <c r="H21" s="2">
        <f>SUBTOTAL(109,Table27[Max Billable Hours])</f>
        <v>1616</v>
      </c>
      <c r="I21" s="2">
        <f>SUBTOTAL(109,Table27[Actual Hours])</f>
        <v>1600</v>
      </c>
      <c r="J21" s="2"/>
      <c r="K21" s="16">
        <f>SUBTOTAL(109,Table27[Final Billing Amount])</f>
        <v>48240</v>
      </c>
      <c r="L21" s="10">
        <f>SUBTOTAL(109,Table27[1])</f>
        <v>120</v>
      </c>
      <c r="M21" s="10">
        <f>SUBTOTAL(109,Table27[2])</f>
        <v>90</v>
      </c>
      <c r="N21" s="10">
        <f>SUBTOTAL(109,Table27[3])</f>
        <v>120</v>
      </c>
      <c r="O21" s="10">
        <f>SUBTOTAL(109,Table27[4])</f>
        <v>120</v>
      </c>
      <c r="P21" s="10">
        <f>SUBTOTAL(109,Table27[5])</f>
        <v>98</v>
      </c>
      <c r="Q21" s="10">
        <f>SUBTOTAL(109,Table27[6])</f>
        <v>0</v>
      </c>
      <c r="R21" s="10">
        <f>SUBTOTAL(109,Table27[7])</f>
        <v>0</v>
      </c>
      <c r="S21" s="10">
        <f>SUBTOTAL(109,Table27[8])</f>
        <v>120</v>
      </c>
      <c r="T21" s="10">
        <f>SUBTOTAL(109,Table27[9])</f>
        <v>90</v>
      </c>
      <c r="U21" s="10">
        <f>SUBTOTAL(109,Table27[10])</f>
        <v>120</v>
      </c>
      <c r="V21" s="10">
        <f>SUBTOTAL(109,Table27[11])</f>
        <v>120</v>
      </c>
      <c r="W21" s="10">
        <f>SUBTOTAL(109,Table27[12])</f>
        <v>106</v>
      </c>
      <c r="X21" s="10">
        <f>SUBTOTAL(109,Table27[13])</f>
        <v>0</v>
      </c>
      <c r="Y21" s="10">
        <f>SUBTOTAL(109,Table27[14])</f>
        <v>0</v>
      </c>
      <c r="Z21" s="10">
        <f>SUBTOTAL(109,Table27[15])</f>
        <v>120</v>
      </c>
      <c r="AA21" s="10">
        <f>SUBTOTAL(109,Table27[16])</f>
        <v>98</v>
      </c>
      <c r="AB21" s="10">
        <f>SUBTOTAL(109,Table27[17])</f>
        <v>0</v>
      </c>
      <c r="AC21" s="10">
        <f>SUBTOTAL(109,Table27[18])</f>
        <v>120</v>
      </c>
      <c r="AD21" s="10">
        <f>SUBTOTAL(109,Table27[19])</f>
        <v>106</v>
      </c>
      <c r="AE21" s="10">
        <f>SUBTOTAL(109,Table27[20])</f>
        <v>0</v>
      </c>
      <c r="AF21" s="10">
        <f>SUBTOTAL(109,Table27[21])</f>
        <v>0</v>
      </c>
      <c r="AG21" s="10">
        <f>SUBTOTAL(109,Table27[22])</f>
        <v>120</v>
      </c>
      <c r="AH21" s="10">
        <f>SUBTOTAL(109,Table27[23])</f>
        <v>106</v>
      </c>
      <c r="AI21" s="10">
        <f>SUBTOTAL(109,Table27[24])</f>
        <v>120</v>
      </c>
      <c r="AJ21" s="10">
        <f>SUBTOTAL(109,Table27[25])</f>
        <v>120</v>
      </c>
      <c r="AK21" s="10">
        <f>SUBTOTAL(109,Table27[26])</f>
        <v>0</v>
      </c>
      <c r="AL21" s="10">
        <f>SUBTOTAL(109,Table27[27])</f>
        <v>0</v>
      </c>
      <c r="AM21" s="10">
        <f>SUBTOTAL(109,Table27[28])</f>
        <v>0</v>
      </c>
      <c r="AN21" s="10">
        <f>SUBTOTAL(109,Table27[29])</f>
        <v>120</v>
      </c>
      <c r="AO21" s="10">
        <f>SUBTOTAL(109,Table27[30])</f>
        <v>120</v>
      </c>
      <c r="AP21" s="10">
        <f>SUBTOTAL(109,Table27[30])</f>
        <v>120</v>
      </c>
      <c r="AQ21" s="10"/>
      <c r="AR21" s="18">
        <f>Table27[[#Totals],[Actual Hours]]/Table27[[#Totals],[Max Billable Hours]]</f>
        <v>0.99009900990099009</v>
      </c>
      <c r="AS21" s="10"/>
    </row>
    <row r="23" spans="2:45" x14ac:dyDescent="0.2">
      <c r="B23" s="39" t="s">
        <v>20</v>
      </c>
      <c r="C23" s="39"/>
    </row>
    <row r="24" spans="2:45" x14ac:dyDescent="0.2">
      <c r="B24" s="33">
        <f>SUM(Table27[Actual Hours])</f>
        <v>1600</v>
      </c>
      <c r="C24" s="33"/>
    </row>
    <row r="25" spans="2:45" x14ac:dyDescent="0.2">
      <c r="B25" s="33"/>
      <c r="C25" s="33"/>
    </row>
    <row r="27" spans="2:45" x14ac:dyDescent="0.2">
      <c r="B27" s="28" t="s">
        <v>68</v>
      </c>
      <c r="C27" s="28"/>
    </row>
    <row r="28" spans="2:45" x14ac:dyDescent="0.2">
      <c r="B28" s="29">
        <f>SUM(Table27[Actual Hours])/SUM(Table27[Max Billable Hours])</f>
        <v>0.99009900990099009</v>
      </c>
      <c r="C28" s="29"/>
    </row>
    <row r="29" spans="2:45" x14ac:dyDescent="0.2">
      <c r="B29" s="29"/>
      <c r="C29" s="29"/>
    </row>
    <row r="31" spans="2:45" x14ac:dyDescent="0.2">
      <c r="B31" s="30"/>
      <c r="C31" s="30"/>
    </row>
    <row r="32" spans="2:45" x14ac:dyDescent="0.2">
      <c r="B32" s="31"/>
      <c r="C32" s="32"/>
    </row>
    <row r="33" spans="2:3" x14ac:dyDescent="0.2">
      <c r="B33" s="32"/>
      <c r="C33" s="32"/>
    </row>
  </sheetData>
  <mergeCells count="10">
    <mergeCell ref="B5:C5"/>
    <mergeCell ref="B6:C6"/>
    <mergeCell ref="B7:C7"/>
    <mergeCell ref="B9:C21"/>
    <mergeCell ref="B23:C23"/>
    <mergeCell ref="B27:C27"/>
    <mergeCell ref="B28:C29"/>
    <mergeCell ref="B31:C31"/>
    <mergeCell ref="B32:C33"/>
    <mergeCell ref="B24:C25"/>
  </mergeCells>
  <phoneticPr fontId="1" type="noConversion"/>
  <conditionalFormatting sqref="J4:AP4">
    <cfRule type="beginsWith" dxfId="5" priority="23" operator="beginsWith" text="S">
      <formula>LEFT(J4,LEN("S"))="S"</formula>
    </cfRule>
  </conditionalFormatting>
  <conditionalFormatting sqref="L6:AQ21">
    <cfRule type="beginsWith" dxfId="4" priority="20" operator="beginsWith" text="H">
      <formula>LEFT(L6,LEN("H"))="H"</formula>
    </cfRule>
    <cfRule type="containsText" dxfId="3" priority="21" operator="containsText" text="OF">
      <formula>NOT(ISERROR(SEARCH("OF",L6)))</formula>
    </cfRule>
    <cfRule type="containsText" dxfId="2" priority="22" operator="containsText" text="WO">
      <formula>NOT(ISERROR(SEARCH("WO",L6)))</formula>
    </cfRule>
  </conditionalFormatting>
  <dataValidations count="2"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baseColWidth="10" defaultColWidth="8.83203125" defaultRowHeight="15" x14ac:dyDescent="0.2"/>
  <cols>
    <col min="2" max="2" width="15.6640625" customWidth="1"/>
    <col min="3" max="3" width="24.1640625" bestFit="1" customWidth="1"/>
    <col min="4" max="4" width="29.33203125" bestFit="1" customWidth="1"/>
    <col min="5" max="5" width="15.1640625" bestFit="1" customWidth="1"/>
    <col min="6" max="6" width="8.5" bestFit="1" customWidth="1"/>
    <col min="7" max="7" width="7.1640625" bestFit="1" customWidth="1"/>
    <col min="8" max="8" width="22.1640625" bestFit="1" customWidth="1"/>
  </cols>
  <sheetData>
    <row r="1" spans="2:8" x14ac:dyDescent="0.2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2">
      <c r="B2" s="20" t="s">
        <v>89</v>
      </c>
      <c r="C2" s="20" t="s">
        <v>111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2">
      <c r="B3" s="20" t="s">
        <v>90</v>
      </c>
      <c r="C3" s="20" t="s">
        <v>112</v>
      </c>
      <c r="D3" s="20" t="s">
        <v>76</v>
      </c>
      <c r="E3" s="1">
        <v>45525</v>
      </c>
      <c r="F3" t="s">
        <v>88</v>
      </c>
      <c r="H3">
        <v>8</v>
      </c>
    </row>
    <row r="4" spans="2:8" x14ac:dyDescent="0.2">
      <c r="B4" s="20" t="s">
        <v>91</v>
      </c>
      <c r="C4" s="20" t="s">
        <v>113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2">
      <c r="B5" s="20" t="s">
        <v>92</v>
      </c>
      <c r="C5" s="20" t="s">
        <v>114</v>
      </c>
      <c r="D5" s="20" t="s">
        <v>78</v>
      </c>
      <c r="E5" s="1">
        <v>45525</v>
      </c>
      <c r="F5" t="s">
        <v>88</v>
      </c>
      <c r="H5">
        <v>2</v>
      </c>
    </row>
    <row r="6" spans="2:8" x14ac:dyDescent="0.2">
      <c r="B6" s="20" t="s">
        <v>93</v>
      </c>
      <c r="C6" s="20" t="s">
        <v>115</v>
      </c>
      <c r="D6" s="20" t="s">
        <v>79</v>
      </c>
      <c r="E6" s="1">
        <v>45525</v>
      </c>
      <c r="F6" t="s">
        <v>88</v>
      </c>
      <c r="H6">
        <v>8</v>
      </c>
    </row>
    <row r="7" spans="2:8" x14ac:dyDescent="0.2">
      <c r="B7" s="20" t="s">
        <v>94</v>
      </c>
      <c r="C7" s="20" t="s">
        <v>116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2">
      <c r="B8" s="20" t="s">
        <v>95</v>
      </c>
      <c r="C8" s="20" t="s">
        <v>117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2">
      <c r="B9" s="20" t="s">
        <v>96</v>
      </c>
      <c r="C9" s="20" t="s">
        <v>118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2">
      <c r="B10" s="20" t="s">
        <v>97</v>
      </c>
      <c r="C10" s="20" t="s">
        <v>119</v>
      </c>
      <c r="D10" s="20" t="s">
        <v>82</v>
      </c>
      <c r="E10" s="1">
        <v>45525</v>
      </c>
      <c r="F10" t="s">
        <v>88</v>
      </c>
      <c r="H10">
        <v>8</v>
      </c>
    </row>
    <row r="11" spans="2:8" x14ac:dyDescent="0.2">
      <c r="B11" s="20" t="s">
        <v>98</v>
      </c>
      <c r="C11" s="20" t="s">
        <v>120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2">
      <c r="B12" s="20" t="s">
        <v>99</v>
      </c>
      <c r="C12" s="20" t="s">
        <v>121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2">
      <c r="B13" s="20" t="s">
        <v>100</v>
      </c>
      <c r="C13" s="20" t="s">
        <v>122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2">
      <c r="B14" s="20" t="s">
        <v>101</v>
      </c>
      <c r="C14" s="20" t="s">
        <v>123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2">
      <c r="B15" s="20" t="s">
        <v>102</v>
      </c>
      <c r="C15" s="20" t="s">
        <v>124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2">
      <c r="B16" s="20" t="s">
        <v>103</v>
      </c>
      <c r="C16" s="20" t="s">
        <v>125</v>
      </c>
      <c r="D16" s="22" t="s">
        <v>74</v>
      </c>
      <c r="E16" s="23">
        <v>24</v>
      </c>
      <c r="F16" t="s">
        <v>88</v>
      </c>
      <c r="H16">
        <v>8</v>
      </c>
    </row>
    <row r="17" spans="2:8" x14ac:dyDescent="0.2">
      <c r="B17" s="20" t="s">
        <v>104</v>
      </c>
      <c r="C17" s="20" t="s">
        <v>126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2">
      <c r="B18" s="20" t="s">
        <v>105</v>
      </c>
      <c r="C18" s="20" t="s">
        <v>127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2">
      <c r="B19" s="20" t="s">
        <v>106</v>
      </c>
      <c r="C19" s="20" t="s">
        <v>128</v>
      </c>
      <c r="D19" t="s">
        <v>75</v>
      </c>
      <c r="E19" s="1">
        <v>45525</v>
      </c>
      <c r="F19" t="s">
        <v>88</v>
      </c>
      <c r="H19">
        <v>2</v>
      </c>
    </row>
    <row r="20" spans="2:8" x14ac:dyDescent="0.2">
      <c r="B20" s="20" t="s">
        <v>107</v>
      </c>
      <c r="C20" s="20" t="s">
        <v>129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2">
      <c r="B21" s="20" t="s">
        <v>108</v>
      </c>
      <c r="C21" s="20" t="s">
        <v>130</v>
      </c>
      <c r="D21" t="s">
        <v>87</v>
      </c>
      <c r="E21" s="1">
        <v>45621</v>
      </c>
      <c r="F21" t="s">
        <v>61</v>
      </c>
      <c r="H21">
        <v>8</v>
      </c>
    </row>
    <row r="22" spans="2:8" x14ac:dyDescent="0.2">
      <c r="B22" s="20" t="s">
        <v>109</v>
      </c>
      <c r="C22" s="20" t="s">
        <v>131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2">
      <c r="B23" s="20" t="s">
        <v>110</v>
      </c>
      <c r="C23" s="20" t="s">
        <v>132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2">
      <c r="E24" s="1"/>
    </row>
  </sheetData>
  <phoneticPr fontId="1" type="noConversion"/>
  <conditionalFormatting sqref="D13:D14">
    <cfRule type="expression" dxfId="1" priority="4">
      <formula>LEFT(#REF!,1)="S"</formula>
    </cfRule>
  </conditionalFormatting>
  <conditionalFormatting sqref="D18">
    <cfRule type="expression" dxfId="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baseColWidth="10" defaultColWidth="8.83203125" defaultRowHeight="15" x14ac:dyDescent="0.2"/>
  <cols>
    <col min="2" max="2" width="10.83203125" bestFit="1" customWidth="1"/>
    <col min="3" max="3" width="10.83203125" customWidth="1"/>
  </cols>
  <sheetData>
    <row r="1" spans="2:5" x14ac:dyDescent="0.2">
      <c r="B1" t="s">
        <v>53</v>
      </c>
      <c r="C1" t="s">
        <v>55</v>
      </c>
      <c r="E1" t="s">
        <v>54</v>
      </c>
    </row>
    <row r="2" spans="2:5" x14ac:dyDescent="0.2">
      <c r="B2" t="s">
        <v>8</v>
      </c>
      <c r="C2">
        <v>1</v>
      </c>
      <c r="E2">
        <v>2021</v>
      </c>
    </row>
    <row r="3" spans="2:5" x14ac:dyDescent="0.2">
      <c r="B3" t="s">
        <v>9</v>
      </c>
      <c r="C3">
        <v>2</v>
      </c>
      <c r="E3">
        <v>2022</v>
      </c>
    </row>
    <row r="4" spans="2:5" x14ac:dyDescent="0.2">
      <c r="B4" t="s">
        <v>10</v>
      </c>
      <c r="C4">
        <v>3</v>
      </c>
      <c r="E4">
        <v>2023</v>
      </c>
    </row>
    <row r="5" spans="2:5" x14ac:dyDescent="0.2">
      <c r="B5" t="s">
        <v>11</v>
      </c>
      <c r="C5">
        <v>4</v>
      </c>
      <c r="E5">
        <v>2024</v>
      </c>
    </row>
    <row r="6" spans="2:5" x14ac:dyDescent="0.2">
      <c r="B6" t="s">
        <v>12</v>
      </c>
      <c r="C6">
        <v>5</v>
      </c>
    </row>
    <row r="7" spans="2:5" x14ac:dyDescent="0.2">
      <c r="B7" t="s">
        <v>13</v>
      </c>
      <c r="C7">
        <v>6</v>
      </c>
    </row>
    <row r="8" spans="2:5" x14ac:dyDescent="0.2">
      <c r="B8" t="s">
        <v>7</v>
      </c>
      <c r="C8">
        <v>7</v>
      </c>
    </row>
    <row r="9" spans="2:5" x14ac:dyDescent="0.2">
      <c r="B9" t="s">
        <v>14</v>
      </c>
      <c r="C9">
        <v>8</v>
      </c>
    </row>
    <row r="10" spans="2:5" x14ac:dyDescent="0.2">
      <c r="B10" t="s">
        <v>15</v>
      </c>
      <c r="C10">
        <v>9</v>
      </c>
    </row>
    <row r="11" spans="2:5" x14ac:dyDescent="0.2">
      <c r="B11" t="s">
        <v>16</v>
      </c>
      <c r="C11">
        <v>10</v>
      </c>
    </row>
    <row r="12" spans="2:5" x14ac:dyDescent="0.2">
      <c r="B12" t="s">
        <v>17</v>
      </c>
      <c r="C12">
        <v>11</v>
      </c>
    </row>
    <row r="13" spans="2:5" x14ac:dyDescent="0.2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Jan'26</vt:lpstr>
      <vt:lpstr>Team</vt:lpstr>
      <vt:lpstr>Data</vt:lpstr>
      <vt:lpstr>'Jan''26'!Month</vt:lpstr>
      <vt:lpstr>Month</vt:lpstr>
      <vt:lpstr>'Jan''26'!Team</vt:lpstr>
      <vt:lpstr>Team</vt:lpstr>
      <vt:lpstr>'Jan''26'!Year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Suresh Narayana Swamy</cp:lastModifiedBy>
  <dcterms:created xsi:type="dcterms:W3CDTF">2021-07-29T07:17:28Z</dcterms:created>
  <dcterms:modified xsi:type="dcterms:W3CDTF">2026-04-23T19:46:10Z</dcterms:modified>
</cp:coreProperties>
</file>