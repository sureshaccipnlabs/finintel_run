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FinIntel\finintel_run\sample_data\BARCLAYS\"/>
    </mc:Choice>
  </mc:AlternateContent>
  <xr:revisionPtr revIDLastSave="0" documentId="13_ncr:1_{C210CF8D-1117-4E76-8851-B781CB02718E}" xr6:coauthVersionLast="47" xr6:coauthVersionMax="47" xr10:uidLastSave="{00000000-0000-0000-0000-000000000000}"/>
  <bookViews>
    <workbookView xWindow="-110" yWindow="-110" windowWidth="19420" windowHeight="11500" firstSheet="4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NOV'25" sheetId="23" r:id="rId5"/>
    <sheet name="Dec'25" sheetId="24" r:id="rId6"/>
    <sheet name="Jan'26" sheetId="25" r:id="rId7"/>
    <sheet name="Feb'26" sheetId="26" r:id="rId8"/>
    <sheet name="Mar'26" sheetId="27" r:id="rId9"/>
    <sheet name="Arp'26" sheetId="28" r:id="rId10"/>
    <sheet name="FEBRUARY'26" sheetId="22" state="hidden" r:id="rId11"/>
    <sheet name="JANUARY'26" sheetId="18" state="hidden" r:id="rId12"/>
    <sheet name="AUGUST'25" sheetId="17" state="hidden" r:id="rId13"/>
    <sheet name="JULY'25" sheetId="15" state="hidden" r:id="rId14"/>
    <sheet name="APRIL" sheetId="14" state="hidden" r:id="rId15"/>
    <sheet name="MARCH" sheetId="13" state="hidden" r:id="rId16"/>
    <sheet name="JAN'25" sheetId="1" state="hidden" r:id="rId17"/>
    <sheet name="FEB24" sheetId="2" state="hidden" r:id="rId18"/>
    <sheet name="MAR24" sheetId="3" state="hidden" r:id="rId19"/>
    <sheet name="APR24" sheetId="4" state="hidden" r:id="rId20"/>
    <sheet name="MAY24" sheetId="5" state="hidden" r:id="rId21"/>
    <sheet name="JUN24" sheetId="6" state="hidden" r:id="rId22"/>
    <sheet name="JUL24" sheetId="7" state="hidden" r:id="rId23"/>
    <sheet name="AUG24" sheetId="8" state="hidden" r:id="rId24"/>
    <sheet name="SEP24" sheetId="9" state="hidden" r:id="rId25"/>
    <sheet name="OCT24" sheetId="10" state="hidden" r:id="rId26"/>
    <sheet name="NOV24" sheetId="11" state="hidden" r:id="rId27"/>
    <sheet name="DEC24" sheetId="12" state="hidden" r:id="rId2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" i="28" l="1"/>
  <c r="C59" i="28"/>
  <c r="C58" i="28"/>
  <c r="C60" i="28" s="1"/>
  <c r="B53" i="28"/>
  <c r="C52" i="28"/>
  <c r="C51" i="28"/>
  <c r="C53" i="28" s="1"/>
  <c r="B46" i="28"/>
  <c r="C46" i="28" s="1"/>
  <c r="D46" i="28" s="1"/>
  <c r="B45" i="28"/>
  <c r="C45" i="28" s="1"/>
  <c r="D45" i="28" s="1"/>
  <c r="B44" i="28"/>
  <c r="C44" i="28" s="1"/>
  <c r="D44" i="28" s="1"/>
  <c r="B43" i="28"/>
  <c r="C43" i="28" s="1"/>
  <c r="D43" i="28" s="1"/>
  <c r="C38" i="28"/>
  <c r="C37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F32" i="28"/>
  <c r="H27" i="28"/>
  <c r="G27" i="28" s="1"/>
  <c r="C42" i="28"/>
  <c r="H25" i="28"/>
  <c r="G25" i="28" s="1"/>
  <c r="H24" i="28"/>
  <c r="G24" i="28"/>
  <c r="C39" i="28"/>
  <c r="H23" i="28"/>
  <c r="G23" i="28" s="1"/>
  <c r="H22" i="28"/>
  <c r="G22" i="28"/>
  <c r="H21" i="28"/>
  <c r="G21" i="28" s="1"/>
  <c r="C3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F16" i="28"/>
  <c r="E16" i="28"/>
  <c r="H11" i="28"/>
  <c r="G11" i="28" s="1"/>
  <c r="H9" i="28"/>
  <c r="G9" i="28" s="1"/>
  <c r="H8" i="28"/>
  <c r="G8" i="28"/>
  <c r="B39" i="28" s="1"/>
  <c r="D39" i="28" s="1"/>
  <c r="H7" i="28"/>
  <c r="G7" i="28"/>
  <c r="H6" i="28"/>
  <c r="G6" i="28" s="1"/>
  <c r="H5" i="28"/>
  <c r="G5" i="28"/>
  <c r="J3" i="28"/>
  <c r="B37" i="28" l="1"/>
  <c r="D37" i="28" s="1"/>
  <c r="C62" i="28"/>
  <c r="B40" i="28"/>
  <c r="D40" i="28" s="1"/>
  <c r="H16" i="28"/>
  <c r="E32" i="28"/>
  <c r="G16" i="28"/>
  <c r="G32" i="28"/>
  <c r="B38" i="28"/>
  <c r="D38" i="28" s="1"/>
  <c r="K3" i="28"/>
  <c r="J4" i="28"/>
  <c r="H32" i="28"/>
  <c r="C40" i="28"/>
  <c r="B36" i="28"/>
  <c r="D36" i="28" s="1"/>
  <c r="B42" i="28"/>
  <c r="D42" i="28" s="1"/>
  <c r="K4" i="28" l="1"/>
  <c r="L3" i="28"/>
  <c r="L4" i="28" l="1"/>
  <c r="M3" i="28"/>
  <c r="M4" i="28" l="1"/>
  <c r="N3" i="28"/>
  <c r="N4" i="28" l="1"/>
  <c r="O3" i="28"/>
  <c r="O4" i="28" l="1"/>
  <c r="P3" i="28"/>
  <c r="P4" i="28" l="1"/>
  <c r="Q3" i="28"/>
  <c r="Q4" i="28" l="1"/>
  <c r="R3" i="28"/>
  <c r="R4" i="28" l="1"/>
  <c r="S3" i="28"/>
  <c r="S4" i="28" l="1"/>
  <c r="T3" i="28"/>
  <c r="T4" i="28" l="1"/>
  <c r="U3" i="28"/>
  <c r="U4" i="28" l="1"/>
  <c r="V3" i="28"/>
  <c r="V4" i="28" l="1"/>
  <c r="W3" i="28"/>
  <c r="W4" i="28" l="1"/>
  <c r="X3" i="28"/>
  <c r="J19" i="28" l="1"/>
  <c r="X4" i="28"/>
  <c r="Y14" i="28"/>
  <c r="Y15" i="28"/>
  <c r="Y13" i="28"/>
  <c r="Y12" i="28"/>
  <c r="K19" i="28" l="1"/>
  <c r="J20" i="28"/>
  <c r="K20" i="28" l="1"/>
  <c r="L19" i="28"/>
  <c r="L20" i="28" l="1"/>
  <c r="M19" i="28"/>
  <c r="M20" i="28" l="1"/>
  <c r="N19" i="28"/>
  <c r="N20" i="28" l="1"/>
  <c r="O19" i="28"/>
  <c r="O20" i="28" l="1"/>
  <c r="P19" i="28"/>
  <c r="P20" i="28" l="1"/>
  <c r="Q19" i="28"/>
  <c r="Q20" i="28" l="1"/>
  <c r="R19" i="28"/>
  <c r="R20" i="28" l="1"/>
  <c r="S19" i="28"/>
  <c r="S20" i="28" l="1"/>
  <c r="T19" i="28"/>
  <c r="T20" i="28" l="1"/>
  <c r="U19" i="28"/>
  <c r="U20" i="28" l="1"/>
  <c r="V19" i="28"/>
  <c r="V20" i="28" l="1"/>
  <c r="W19" i="28"/>
  <c r="X19" i="28" l="1"/>
  <c r="X20" i="28" s="1"/>
  <c r="W20" i="28"/>
  <c r="B60" i="27" l="1"/>
  <c r="C59" i="27"/>
  <c r="C58" i="27"/>
  <c r="C60" i="27" s="1"/>
  <c r="B53" i="27"/>
  <c r="C52" i="27"/>
  <c r="C51" i="27"/>
  <c r="C53" i="27" s="1"/>
  <c r="C62" i="27" s="1"/>
  <c r="B46" i="27"/>
  <c r="C46" i="27" s="1"/>
  <c r="D46" i="27" s="1"/>
  <c r="B45" i="27"/>
  <c r="C45" i="27" s="1"/>
  <c r="D45" i="27" s="1"/>
  <c r="B44" i="27"/>
  <c r="C44" i="27" s="1"/>
  <c r="D44" i="27" s="1"/>
  <c r="B43" i="27"/>
  <c r="C43" i="27" s="1"/>
  <c r="D43" i="27" s="1"/>
  <c r="D42" i="27"/>
  <c r="C41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F30" i="27"/>
  <c r="F29" i="27"/>
  <c r="F28" i="27"/>
  <c r="F27" i="27"/>
  <c r="Z26" i="27"/>
  <c r="H26" i="27"/>
  <c r="G26" i="27" s="1"/>
  <c r="F26" i="27"/>
  <c r="E26" i="27"/>
  <c r="Z25" i="27"/>
  <c r="H25" i="27"/>
  <c r="G25" i="27" s="1"/>
  <c r="Z24" i="27"/>
  <c r="H24" i="27"/>
  <c r="G24" i="27" s="1"/>
  <c r="F24" i="27"/>
  <c r="E24" i="27" s="1"/>
  <c r="Z23" i="27"/>
  <c r="H23" i="27"/>
  <c r="G23" i="27" s="1"/>
  <c r="F23" i="27"/>
  <c r="E23" i="27" s="1"/>
  <c r="Z22" i="27"/>
  <c r="H22" i="27"/>
  <c r="G22" i="27" s="1"/>
  <c r="F22" i="27"/>
  <c r="E22" i="27" s="1"/>
  <c r="Z21" i="27"/>
  <c r="H21" i="27"/>
  <c r="G21" i="27" s="1"/>
  <c r="B36" i="27" s="1"/>
  <c r="D36" i="27" s="1"/>
  <c r="F21" i="27"/>
  <c r="E21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E14" i="27"/>
  <c r="E13" i="27"/>
  <c r="E12" i="27"/>
  <c r="E11" i="27"/>
  <c r="H10" i="27"/>
  <c r="G10" i="27"/>
  <c r="F10" i="27"/>
  <c r="E10" i="27" s="1"/>
  <c r="H9" i="27"/>
  <c r="G9" i="27" s="1"/>
  <c r="H8" i="27"/>
  <c r="G8" i="27"/>
  <c r="F8" i="27"/>
  <c r="H7" i="27"/>
  <c r="G7" i="27" s="1"/>
  <c r="F7" i="27"/>
  <c r="E7" i="27"/>
  <c r="H6" i="27"/>
  <c r="G6" i="27"/>
  <c r="F6" i="27"/>
  <c r="C37" i="27" s="1"/>
  <c r="H5" i="27"/>
  <c r="G5" i="27"/>
  <c r="F5" i="27"/>
  <c r="E5" i="27" s="1"/>
  <c r="J3" i="27"/>
  <c r="C39" i="27" l="1"/>
  <c r="C42" i="27"/>
  <c r="B37" i="27"/>
  <c r="D37" i="27" s="1"/>
  <c r="E6" i="27"/>
  <c r="C38" i="27"/>
  <c r="F16" i="27"/>
  <c r="C36" i="27"/>
  <c r="E32" i="27"/>
  <c r="E8" i="27"/>
  <c r="E16" i="27" s="1"/>
  <c r="B38" i="27"/>
  <c r="D38" i="27" s="1"/>
  <c r="B39" i="27"/>
  <c r="D39" i="27" s="1"/>
  <c r="H32" i="27"/>
  <c r="B40" i="27"/>
  <c r="D40" i="27" s="1"/>
  <c r="G16" i="27"/>
  <c r="K3" i="27"/>
  <c r="J4" i="27"/>
  <c r="C40" i="27"/>
  <c r="F32" i="27"/>
  <c r="G32" i="27"/>
  <c r="H16" i="27"/>
  <c r="L3" i="27" l="1"/>
  <c r="K4" i="27"/>
  <c r="M3" i="27" l="1"/>
  <c r="L4" i="27"/>
  <c r="M4" i="27" l="1"/>
  <c r="N3" i="27"/>
  <c r="N4" i="27" l="1"/>
  <c r="O3" i="27"/>
  <c r="O4" i="27" l="1"/>
  <c r="P3" i="27"/>
  <c r="P4" i="27" l="1"/>
  <c r="Q3" i="27"/>
  <c r="R3" i="27" l="1"/>
  <c r="Q4" i="27"/>
  <c r="R4" i="27" l="1"/>
  <c r="S3" i="27"/>
  <c r="S4" i="27" l="1"/>
  <c r="T3" i="27"/>
  <c r="T4" i="27" l="1"/>
  <c r="U3" i="27"/>
  <c r="U4" i="27" l="1"/>
  <c r="V3" i="27"/>
  <c r="V4" i="27" l="1"/>
  <c r="W3" i="27"/>
  <c r="X3" i="27" l="1"/>
  <c r="W4" i="27"/>
  <c r="J19" i="27" l="1"/>
  <c r="X4" i="27"/>
  <c r="Z13" i="27"/>
  <c r="Y13" i="27" s="1"/>
  <c r="Z12" i="27"/>
  <c r="Y12" i="27" s="1"/>
  <c r="Z14" i="27"/>
  <c r="Y14" i="27" s="1"/>
  <c r="Z11" i="27"/>
  <c r="Y11" i="27" s="1"/>
  <c r="J20" i="27" l="1"/>
  <c r="K19" i="27"/>
  <c r="K20" i="27" l="1"/>
  <c r="L19" i="27"/>
  <c r="L20" i="27" l="1"/>
  <c r="M19" i="27"/>
  <c r="M20" i="27" l="1"/>
  <c r="N19" i="27"/>
  <c r="N20" i="27" l="1"/>
  <c r="O19" i="27"/>
  <c r="O20" i="27" l="1"/>
  <c r="P19" i="27"/>
  <c r="Q19" i="27" l="1"/>
  <c r="P20" i="27"/>
  <c r="Q20" i="27" l="1"/>
  <c r="R19" i="27"/>
  <c r="R20" i="27" l="1"/>
  <c r="S19" i="27"/>
  <c r="T19" i="27" l="1"/>
  <c r="S20" i="27"/>
  <c r="U19" i="27" l="1"/>
  <c r="T20" i="27"/>
  <c r="V19" i="27" l="1"/>
  <c r="U20" i="27"/>
  <c r="V20" i="27" l="1"/>
  <c r="W19" i="27"/>
  <c r="W20" i="27" l="1"/>
  <c r="X19" i="27"/>
  <c r="X20" i="27" l="1"/>
  <c r="Y19" i="27"/>
  <c r="Y20" i="27" s="1"/>
  <c r="B57" i="26" l="1"/>
  <c r="C56" i="26"/>
  <c r="C55" i="26"/>
  <c r="C57" i="26" s="1"/>
  <c r="B50" i="26"/>
  <c r="C49" i="26"/>
  <c r="C48" i="26"/>
  <c r="C50" i="26" s="1"/>
  <c r="C59" i="26" s="1"/>
  <c r="B43" i="26"/>
  <c r="C43" i="26" s="1"/>
  <c r="D43" i="26" s="1"/>
  <c r="B42" i="26"/>
  <c r="C42" i="26" s="1"/>
  <c r="D42" i="26" s="1"/>
  <c r="B41" i="26"/>
  <c r="C41" i="26" s="1"/>
  <c r="D41" i="26" s="1"/>
  <c r="B40" i="26"/>
  <c r="C40" i="26" s="1"/>
  <c r="D40" i="26" s="1"/>
  <c r="C38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25" i="26"/>
  <c r="G25" i="26" s="1"/>
  <c r="F25" i="26"/>
  <c r="E25" i="26" s="1"/>
  <c r="H24" i="26"/>
  <c r="G24" i="26" s="1"/>
  <c r="H23" i="26"/>
  <c r="G23" i="26" s="1"/>
  <c r="F23" i="26"/>
  <c r="E23" i="26" s="1"/>
  <c r="H22" i="26"/>
  <c r="G22" i="26" s="1"/>
  <c r="F22" i="26"/>
  <c r="E22" i="26" s="1"/>
  <c r="H21" i="26"/>
  <c r="G21" i="26" s="1"/>
  <c r="F21" i="26"/>
  <c r="E21" i="26" s="1"/>
  <c r="H20" i="26"/>
  <c r="G20" i="26" s="1"/>
  <c r="F20" i="26"/>
  <c r="E20" i="26" s="1"/>
  <c r="X15" i="26"/>
  <c r="W15" i="26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I15" i="26"/>
  <c r="H10" i="26"/>
  <c r="G10" i="26" s="1"/>
  <c r="F10" i="26"/>
  <c r="E10" i="26"/>
  <c r="H9" i="26"/>
  <c r="G9" i="26" s="1"/>
  <c r="H8" i="26"/>
  <c r="G8" i="26" s="1"/>
  <c r="F8" i="26"/>
  <c r="C37" i="26" s="1"/>
  <c r="H7" i="26"/>
  <c r="G7" i="26" s="1"/>
  <c r="F7" i="26"/>
  <c r="E7" i="26" s="1"/>
  <c r="H6" i="26"/>
  <c r="G6" i="26"/>
  <c r="F6" i="26"/>
  <c r="E6" i="26" s="1"/>
  <c r="H5" i="26"/>
  <c r="G5" i="26" s="1"/>
  <c r="F5" i="26"/>
  <c r="E5" i="26"/>
  <c r="J3" i="26"/>
  <c r="B37" i="26" l="1"/>
  <c r="D37" i="26" s="1"/>
  <c r="C39" i="26"/>
  <c r="H30" i="26"/>
  <c r="B39" i="26"/>
  <c r="D39" i="26" s="1"/>
  <c r="E30" i="26"/>
  <c r="C36" i="26"/>
  <c r="C34" i="26"/>
  <c r="B35" i="26"/>
  <c r="D35" i="26" s="1"/>
  <c r="E8" i="26"/>
  <c r="E15" i="26" s="1"/>
  <c r="F30" i="26"/>
  <c r="B38" i="26"/>
  <c r="D38" i="26" s="1"/>
  <c r="H15" i="26"/>
  <c r="B34" i="26"/>
  <c r="D34" i="26" s="1"/>
  <c r="G15" i="26"/>
  <c r="B36" i="26"/>
  <c r="D36" i="26" s="1"/>
  <c r="D30" i="26"/>
  <c r="G30" i="26"/>
  <c r="F15" i="26"/>
  <c r="C35" i="26"/>
  <c r="K3" i="26"/>
  <c r="J4" i="26"/>
  <c r="K4" i="26" l="1"/>
  <c r="L3" i="26"/>
  <c r="M3" i="26" l="1"/>
  <c r="L4" i="26"/>
  <c r="M4" i="26" l="1"/>
  <c r="N3" i="26"/>
  <c r="N4" i="26" l="1"/>
  <c r="O3" i="26"/>
  <c r="O4" i="26" l="1"/>
  <c r="P3" i="26"/>
  <c r="Q3" i="26" l="1"/>
  <c r="P4" i="26"/>
  <c r="Q4" i="26" l="1"/>
  <c r="R3" i="26"/>
  <c r="R4" i="26" l="1"/>
  <c r="S3" i="26"/>
  <c r="S4" i="26" l="1"/>
  <c r="T3" i="26"/>
  <c r="T4" i="26" l="1"/>
  <c r="U3" i="26"/>
  <c r="U4" i="26" l="1"/>
  <c r="V3" i="26"/>
  <c r="V4" i="26" l="1"/>
  <c r="W3" i="26"/>
  <c r="W4" i="26" l="1"/>
  <c r="X3" i="26"/>
  <c r="X4" i="26" l="1"/>
  <c r="J18" i="26"/>
  <c r="Z14" i="26"/>
  <c r="Y14" i="26" s="1"/>
  <c r="Z11" i="26"/>
  <c r="Y11" i="26" s="1"/>
  <c r="Z13" i="26"/>
  <c r="Y13" i="26" s="1"/>
  <c r="Z12" i="26"/>
  <c r="Y12" i="26" s="1"/>
  <c r="K18" i="26" l="1"/>
  <c r="J19" i="26"/>
  <c r="L18" i="26" l="1"/>
  <c r="K19" i="26"/>
  <c r="M18" i="26" l="1"/>
  <c r="L19" i="26"/>
  <c r="N18" i="26" l="1"/>
  <c r="M19" i="26"/>
  <c r="O18" i="26" l="1"/>
  <c r="N19" i="26"/>
  <c r="P18" i="26" l="1"/>
  <c r="O19" i="26"/>
  <c r="Q18" i="26" l="1"/>
  <c r="P19" i="26"/>
  <c r="R18" i="26" l="1"/>
  <c r="Q19" i="26"/>
  <c r="R19" i="26" l="1"/>
  <c r="S18" i="26"/>
  <c r="S19" i="26" l="1"/>
  <c r="T18" i="26"/>
  <c r="U18" i="26" l="1"/>
  <c r="T19" i="26"/>
  <c r="V18" i="26" l="1"/>
  <c r="V19" i="26" s="1"/>
  <c r="U19" i="26"/>
  <c r="B57" i="25" l="1"/>
  <c r="C56" i="25"/>
  <c r="C55" i="25"/>
  <c r="C57" i="25" s="1"/>
  <c r="B50" i="25"/>
  <c r="C49" i="25"/>
  <c r="C48" i="25"/>
  <c r="B43" i="25"/>
  <c r="C43" i="25" s="1"/>
  <c r="D43" i="25" s="1"/>
  <c r="B42" i="25"/>
  <c r="C42" i="25" s="1"/>
  <c r="D42" i="25" s="1"/>
  <c r="B41" i="25"/>
  <c r="C41" i="25" s="1"/>
  <c r="D41" i="25" s="1"/>
  <c r="B40" i="25"/>
  <c r="C40" i="25" s="1"/>
  <c r="D40" i="25" s="1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25" i="25"/>
  <c r="G25" i="25" s="1"/>
  <c r="F25" i="25"/>
  <c r="E25" i="25" s="1"/>
  <c r="H24" i="25"/>
  <c r="G24" i="25" s="1"/>
  <c r="H23" i="25"/>
  <c r="G23" i="25" s="1"/>
  <c r="F23" i="25"/>
  <c r="E23" i="25" s="1"/>
  <c r="H22" i="25"/>
  <c r="G22" i="25" s="1"/>
  <c r="F22" i="25"/>
  <c r="E22" i="25"/>
  <c r="H21" i="25"/>
  <c r="G21" i="25" s="1"/>
  <c r="F21" i="25"/>
  <c r="E21" i="25" s="1"/>
  <c r="H20" i="25"/>
  <c r="G20" i="25" s="1"/>
  <c r="F20" i="25"/>
  <c r="E20" i="25" s="1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H10" i="25"/>
  <c r="F10" i="25"/>
  <c r="E10" i="25" s="1"/>
  <c r="H9" i="25"/>
  <c r="G9" i="25" s="1"/>
  <c r="H8" i="25"/>
  <c r="G8" i="25" s="1"/>
  <c r="F8" i="25"/>
  <c r="C37" i="25" s="1"/>
  <c r="H7" i="25"/>
  <c r="G7" i="25" s="1"/>
  <c r="F7" i="25"/>
  <c r="C36" i="25" s="1"/>
  <c r="H6" i="25"/>
  <c r="F6" i="25"/>
  <c r="E6" i="25" s="1"/>
  <c r="H5" i="25"/>
  <c r="G5" i="25" s="1"/>
  <c r="F5" i="25"/>
  <c r="J3" i="25"/>
  <c r="E8" i="25" l="1"/>
  <c r="C50" i="25"/>
  <c r="C59" i="25" s="1"/>
  <c r="F30" i="25"/>
  <c r="C35" i="25"/>
  <c r="B39" i="25"/>
  <c r="D39" i="25" s="1"/>
  <c r="B37" i="25"/>
  <c r="D37" i="25" s="1"/>
  <c r="B36" i="25"/>
  <c r="D36" i="25" s="1"/>
  <c r="B38" i="25"/>
  <c r="D38" i="25" s="1"/>
  <c r="F15" i="25"/>
  <c r="E5" i="25"/>
  <c r="H15" i="25"/>
  <c r="E30" i="25"/>
  <c r="G30" i="25"/>
  <c r="E7" i="25"/>
  <c r="G10" i="25"/>
  <c r="B34" i="25"/>
  <c r="D34" i="25" s="1"/>
  <c r="H30" i="25"/>
  <c r="C38" i="25"/>
  <c r="C34" i="25"/>
  <c r="K3" i="25"/>
  <c r="J4" i="25"/>
  <c r="C39" i="25"/>
  <c r="G6" i="25"/>
  <c r="B35" i="25" s="1"/>
  <c r="D35" i="25" s="1"/>
  <c r="E15" i="25" l="1"/>
  <c r="G15" i="25"/>
  <c r="L3" i="25"/>
  <c r="K4" i="25"/>
  <c r="L4" i="25" l="1"/>
  <c r="M3" i="25"/>
  <c r="M4" i="25" l="1"/>
  <c r="N3" i="25"/>
  <c r="N4" i="25" l="1"/>
  <c r="O3" i="25"/>
  <c r="O4" i="25" l="1"/>
  <c r="P3" i="25"/>
  <c r="P4" i="25" l="1"/>
  <c r="Q3" i="25"/>
  <c r="Q4" i="25" l="1"/>
  <c r="R3" i="25"/>
  <c r="R4" i="25" l="1"/>
  <c r="S3" i="25"/>
  <c r="S4" i="25" l="1"/>
  <c r="T3" i="25"/>
  <c r="T4" i="25" l="1"/>
  <c r="U3" i="25"/>
  <c r="V3" i="25" l="1"/>
  <c r="U4" i="25"/>
  <c r="V4" i="25" l="1"/>
  <c r="W3" i="25"/>
  <c r="W4" i="25" l="1"/>
  <c r="X3" i="25"/>
  <c r="Z13" i="25" l="1"/>
  <c r="Y13" i="25" s="1"/>
  <c r="X4" i="25"/>
  <c r="J18" i="25"/>
  <c r="Z11" i="25"/>
  <c r="Y11" i="25" s="1"/>
  <c r="Z14" i="25"/>
  <c r="Y14" i="25" s="1"/>
  <c r="Z12" i="25"/>
  <c r="Y12" i="25" s="1"/>
  <c r="J19" i="25" l="1"/>
  <c r="K18" i="25"/>
  <c r="K19" i="25" l="1"/>
  <c r="L18" i="25"/>
  <c r="L19" i="25" l="1"/>
  <c r="M18" i="25"/>
  <c r="N18" i="25" l="1"/>
  <c r="M19" i="25"/>
  <c r="O18" i="25" l="1"/>
  <c r="N19" i="25"/>
  <c r="O19" i="25" l="1"/>
  <c r="P18" i="25"/>
  <c r="P19" i="25" l="1"/>
  <c r="Q18" i="25"/>
  <c r="R18" i="25" l="1"/>
  <c r="Q19" i="25"/>
  <c r="R19" i="25" l="1"/>
  <c r="S18" i="25"/>
  <c r="S19" i="25" l="1"/>
  <c r="T18" i="25"/>
  <c r="U18" i="25" l="1"/>
  <c r="T19" i="25"/>
  <c r="U19" i="25" l="1"/>
  <c r="V18" i="25"/>
  <c r="W18" i="25" l="1"/>
  <c r="X18" i="25" s="1"/>
  <c r="Y18" i="25" s="1"/>
  <c r="V19" i="25"/>
  <c r="B57" i="24" l="1"/>
  <c r="C56" i="24"/>
  <c r="C55" i="24"/>
  <c r="C57" i="24" s="1"/>
  <c r="B50" i="24"/>
  <c r="C49" i="24"/>
  <c r="C48" i="24"/>
  <c r="C50" i="24" s="1"/>
  <c r="C59" i="24" s="1"/>
  <c r="B43" i="24"/>
  <c r="C43" i="24" s="1"/>
  <c r="D43" i="24" s="1"/>
  <c r="B42" i="24"/>
  <c r="C42" i="24" s="1"/>
  <c r="D42" i="24" s="1"/>
  <c r="B41" i="24"/>
  <c r="C41" i="24" s="1"/>
  <c r="D41" i="24" s="1"/>
  <c r="B40" i="24"/>
  <c r="C40" i="24" s="1"/>
  <c r="D40" i="24" s="1"/>
  <c r="C39" i="24"/>
  <c r="C38" i="24"/>
  <c r="C35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25" i="24"/>
  <c r="G25" i="24" s="1"/>
  <c r="H24" i="24"/>
  <c r="H23" i="24"/>
  <c r="G23" i="24" s="1"/>
  <c r="H22" i="24"/>
  <c r="G22" i="24" s="1"/>
  <c r="H21" i="24"/>
  <c r="G21" i="24" s="1"/>
  <c r="H20" i="24"/>
  <c r="G20" i="24"/>
  <c r="C34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0" i="24"/>
  <c r="H9" i="24"/>
  <c r="G9" i="24" s="1"/>
  <c r="H8" i="24"/>
  <c r="G8" i="24" s="1"/>
  <c r="C37" i="24"/>
  <c r="H7" i="24"/>
  <c r="G7" i="24" s="1"/>
  <c r="C36" i="24"/>
  <c r="H6" i="24"/>
  <c r="G6" i="24" s="1"/>
  <c r="H5" i="24"/>
  <c r="G5" i="24" s="1"/>
  <c r="B34" i="24" s="1"/>
  <c r="D34" i="24" s="1"/>
  <c r="F15" i="24"/>
  <c r="J3" i="24"/>
  <c r="B36" i="24" l="1"/>
  <c r="D36" i="24" s="1"/>
  <c r="H30" i="24"/>
  <c r="B39" i="24"/>
  <c r="D39" i="24" s="1"/>
  <c r="G24" i="24"/>
  <c r="B38" i="24" s="1"/>
  <c r="D38" i="24" s="1"/>
  <c r="H15" i="24"/>
  <c r="B37" i="24"/>
  <c r="D37" i="24" s="1"/>
  <c r="B35" i="24"/>
  <c r="D35" i="24" s="1"/>
  <c r="G10" i="24"/>
  <c r="G15" i="24" s="1"/>
  <c r="F30" i="24"/>
  <c r="E30" i="24"/>
  <c r="K3" i="24"/>
  <c r="J4" i="24"/>
  <c r="E15" i="24"/>
  <c r="G30" i="24" l="1"/>
  <c r="K4" i="24"/>
  <c r="L3" i="24"/>
  <c r="L4" i="24" l="1"/>
  <c r="M3" i="24"/>
  <c r="N3" i="24" l="1"/>
  <c r="M4" i="24"/>
  <c r="N4" i="24" l="1"/>
  <c r="O3" i="24"/>
  <c r="P3" i="24" l="1"/>
  <c r="O4" i="24"/>
  <c r="P4" i="24" l="1"/>
  <c r="Q3" i="24"/>
  <c r="Q4" i="24" l="1"/>
  <c r="R3" i="24"/>
  <c r="R4" i="24" l="1"/>
  <c r="S3" i="24"/>
  <c r="S4" i="24" l="1"/>
  <c r="T3" i="24"/>
  <c r="U3" i="24" l="1"/>
  <c r="T4" i="24"/>
  <c r="V3" i="24" l="1"/>
  <c r="U4" i="24"/>
  <c r="V4" i="24" l="1"/>
  <c r="W3" i="24"/>
  <c r="W4" i="24" l="1"/>
  <c r="X3" i="24"/>
  <c r="J18" i="24" l="1"/>
  <c r="X4" i="24"/>
  <c r="Z14" i="24"/>
  <c r="Y14" i="24" s="1"/>
  <c r="Z13" i="24"/>
  <c r="Y13" i="24" s="1"/>
  <c r="Z11" i="24"/>
  <c r="Y11" i="24" s="1"/>
  <c r="Z12" i="24"/>
  <c r="Y12" i="24" s="1"/>
  <c r="J19" i="24" l="1"/>
  <c r="K18" i="24"/>
  <c r="L18" i="24" l="1"/>
  <c r="K19" i="24"/>
  <c r="M18" i="24" l="1"/>
  <c r="L19" i="24"/>
  <c r="M19" i="24" l="1"/>
  <c r="N18" i="24"/>
  <c r="N19" i="24" l="1"/>
  <c r="O18" i="24"/>
  <c r="O19" i="24" l="1"/>
  <c r="P18" i="24"/>
  <c r="P19" i="24" l="1"/>
  <c r="Q18" i="24"/>
  <c r="R18" i="24" l="1"/>
  <c r="Q19" i="24"/>
  <c r="R19" i="24" l="1"/>
  <c r="S18" i="24"/>
  <c r="S19" i="24" l="1"/>
  <c r="T18" i="24"/>
  <c r="U18" i="24" l="1"/>
  <c r="T19" i="24"/>
  <c r="U19" i="24" l="1"/>
  <c r="V18" i="24"/>
  <c r="W18" i="24" l="1"/>
  <c r="X18" i="24" s="1"/>
  <c r="Y18" i="24" s="1"/>
  <c r="V19" i="24"/>
  <c r="C42" i="23" l="1"/>
  <c r="C43" i="23"/>
  <c r="C44" i="23"/>
  <c r="C45" i="23"/>
  <c r="C46" i="23"/>
  <c r="B42" i="23"/>
  <c r="D42" i="23" s="1"/>
  <c r="B43" i="23"/>
  <c r="D43" i="23" s="1"/>
  <c r="B44" i="23"/>
  <c r="D44" i="23" s="1"/>
  <c r="B45" i="23"/>
  <c r="D45" i="23" s="1"/>
  <c r="B46" i="23"/>
  <c r="D46" i="23" s="1"/>
  <c r="B59" i="23"/>
  <c r="C58" i="23"/>
  <c r="C57" i="23"/>
  <c r="B52" i="23"/>
  <c r="C51" i="23"/>
  <c r="C50" i="23"/>
  <c r="C52" i="23" s="1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26" i="23"/>
  <c r="G26" i="23" s="1"/>
  <c r="F26" i="23"/>
  <c r="E26" i="23" s="1"/>
  <c r="H25" i="23"/>
  <c r="G25" i="23" s="1"/>
  <c r="F25" i="23"/>
  <c r="E25" i="23" s="1"/>
  <c r="H24" i="23"/>
  <c r="G24" i="23" s="1"/>
  <c r="F24" i="23"/>
  <c r="E24" i="23" s="1"/>
  <c r="H23" i="23"/>
  <c r="G23" i="23" s="1"/>
  <c r="F23" i="23"/>
  <c r="E23" i="23" s="1"/>
  <c r="H22" i="23"/>
  <c r="G22" i="23" s="1"/>
  <c r="F22" i="23"/>
  <c r="E22" i="23" s="1"/>
  <c r="H21" i="23"/>
  <c r="G21" i="23" s="1"/>
  <c r="F21" i="23"/>
  <c r="E21" i="23" s="1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H10" i="23"/>
  <c r="G10" i="23" s="1"/>
  <c r="F10" i="23"/>
  <c r="E10" i="23" s="1"/>
  <c r="H9" i="23"/>
  <c r="G9" i="23" s="1"/>
  <c r="F9" i="23"/>
  <c r="E9" i="23" s="1"/>
  <c r="H8" i="23"/>
  <c r="G8" i="23" s="1"/>
  <c r="F8" i="23"/>
  <c r="E8" i="23" s="1"/>
  <c r="H7" i="23"/>
  <c r="G7" i="23" s="1"/>
  <c r="F7" i="23"/>
  <c r="E7" i="23" s="1"/>
  <c r="H6" i="23"/>
  <c r="G6" i="23" s="1"/>
  <c r="F6" i="23"/>
  <c r="E6" i="23" s="1"/>
  <c r="H5" i="23"/>
  <c r="G5" i="23" s="1"/>
  <c r="F5" i="23"/>
  <c r="E5" i="23" s="1"/>
  <c r="J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F16" i="23" l="1"/>
  <c r="G32" i="23"/>
  <c r="C39" i="23"/>
  <c r="B37" i="23"/>
  <c r="D37" i="23" s="1"/>
  <c r="B41" i="23"/>
  <c r="D41" i="23" s="1"/>
  <c r="C41" i="23"/>
  <c r="C38" i="23"/>
  <c r="B38" i="23"/>
  <c r="D38" i="23" s="1"/>
  <c r="B40" i="23"/>
  <c r="D40" i="23" s="1"/>
  <c r="C59" i="23"/>
  <c r="C61" i="23" s="1"/>
  <c r="B39" i="23"/>
  <c r="D39" i="23" s="1"/>
  <c r="E32" i="23"/>
  <c r="D16" i="23"/>
  <c r="F32" i="23"/>
  <c r="G16" i="23"/>
  <c r="C37" i="23"/>
  <c r="C40" i="23"/>
  <c r="H32" i="23"/>
  <c r="J4" i="23"/>
  <c r="K3" i="23"/>
  <c r="C36" i="23"/>
  <c r="E16" i="23"/>
  <c r="B36" i="23"/>
  <c r="D36" i="23" s="1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K4" i="23" l="1"/>
  <c r="L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L4" i="23" l="1"/>
  <c r="M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M4" i="23" l="1"/>
  <c r="N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N4" i="23" l="1"/>
  <c r="O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O4" i="23" l="1"/>
  <c r="P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P4" i="23" l="1"/>
  <c r="Q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Q4" i="23" l="1"/>
  <c r="R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R4" i="23" l="1"/>
  <c r="S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S4" i="23" l="1"/>
  <c r="T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T4" i="23" l="1"/>
  <c r="U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U4" i="23" l="1"/>
  <c r="V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V4" i="23" l="1"/>
  <c r="W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W4" i="23" l="1"/>
  <c r="X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J19" i="23" l="1"/>
  <c r="X4" i="23"/>
  <c r="Z14" i="23"/>
  <c r="Y14" i="23" s="1"/>
  <c r="Z13" i="23"/>
  <c r="Y13" i="23" s="1"/>
  <c r="Z12" i="23"/>
  <c r="Y12" i="23" s="1"/>
  <c r="Z11" i="23"/>
  <c r="Y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J20" i="23" l="1"/>
  <c r="K19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K20" i="23" l="1"/>
  <c r="L19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L20" i="23" l="1"/>
  <c r="M19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M20" i="23" l="1"/>
  <c r="N19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N20" i="23" l="1"/>
  <c r="O19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O20" i="23" l="1"/>
  <c r="P19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P20" i="23" l="1"/>
  <c r="Q19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Q20" i="23" l="1"/>
  <c r="R19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R20" i="23" l="1"/>
  <c r="S19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S20" i="23" l="1"/>
  <c r="T19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T20" i="23" l="1"/>
  <c r="U19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U20" i="23" l="1"/>
  <c r="V19" i="23"/>
  <c r="W19" i="23" s="1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X19" i="23" l="1"/>
  <c r="X20" i="23" s="1"/>
  <c r="W20" i="23"/>
  <c r="V20" i="23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V19" i="21" l="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0" l="1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<sst xmlns="http://schemas.openxmlformats.org/spreadsheetml/2006/main" count="2679" uniqueCount="61">
  <si>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</si>
  <si>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</si>
  <si>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</si>
  <si>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</si>
  <si>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</si>
  <si>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</si>
  <si>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</si>
  <si>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</si>
  <si>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</si>
  <si>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</si>
  <si>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</si>
  <si>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</si>
  <si>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</si>
  <si>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</si>
  <si>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</si>
  <si>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</si>
  <si>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</si>
  <si>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</si>
  <si>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</si>
  <si>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</si>
  <si>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</si>
  <si>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</si>
  <si>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</si>
  <si>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</si>
  <si>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</si>
  <si>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</si>
  <si>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</si>
  <si>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</si>
  <si>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</si>
  <si>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</si>
  <si>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</si>
  <si>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</si>
  <si>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</si>
  <si>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</si>
  <si>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</si>
  <si>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</si>
  <si>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</si>
  <si>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</si>
  <si>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</si>
  <si>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WO</t>
  </si>
  <si>
    <t>Alex</t>
  </si>
  <si>
    <t>Roger</t>
  </si>
  <si>
    <t>Sandeep</t>
  </si>
  <si>
    <t>Kyle</t>
  </si>
  <si>
    <t>Steve</t>
  </si>
  <si>
    <t>Ricardo</t>
  </si>
  <si>
    <t>George</t>
  </si>
  <si>
    <t>BARCLAYS</t>
  </si>
  <si>
    <t>PH</t>
  </si>
  <si>
    <t>Robin</t>
  </si>
  <si>
    <t>Wo</t>
  </si>
  <si>
    <t>Thu</t>
  </si>
  <si>
    <t>Fri</t>
  </si>
  <si>
    <t>Sat</t>
  </si>
  <si>
    <t>Role as per SoW</t>
  </si>
  <si>
    <t>Senior Developer</t>
  </si>
  <si>
    <t>FrontEnd Developer</t>
  </si>
  <si>
    <t>Automation QA</t>
  </si>
  <si>
    <t>BackEnd Developer</t>
  </si>
  <si>
    <t>FullStack</t>
  </si>
  <si>
    <t>ML-NLP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</si>
</sst>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3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  <font>
      <b/>
      <sz val="10"/>
      <color theme="1"/>
      <name val="Aptos"/>
      <family val="2"/>
    </font>
    <font>
      <sz val="10"/>
      <color rgb="FF000000"/>
      <name val="Aptos"/>
      <family val="2"/>
    </font>
    <font>
      <sz val="10"/>
      <color theme="1"/>
      <name val="Aptos"/>
      <family val="2"/>
    </font>
  </fonts>
  <fills count="21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167" fontId="30" fillId="0" borderId="8" xfId="0" applyNumberFormat="1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167" fontId="21" fillId="19" borderId="8" xfId="0" applyNumberFormat="1" applyFont="1" applyFill="1" applyBorder="1" applyAlignment="1">
      <alignment horizontal="center" vertical="center"/>
    </xf>
    <xf numFmtId="0" fontId="21" fillId="0" borderId="30" xfId="0" applyFont="1" applyBorder="1" applyAlignment="1">
      <alignment horizontal="center"/>
    </xf>
    <xf numFmtId="167" fontId="23" fillId="18" borderId="8" xfId="0" applyNumberFormat="1" applyFont="1" applyFill="1" applyBorder="1" applyAlignment="1">
      <alignment horizontal="center" vertical="center"/>
    </xf>
    <xf numFmtId="167" fontId="21" fillId="16" borderId="2" xfId="0" applyNumberFormat="1" applyFont="1" applyFill="1" applyBorder="1" applyAlignment="1">
      <alignment horizontal="center" vertical="center"/>
    </xf>
    <xf numFmtId="167" fontId="21" fillId="0" borderId="2" xfId="0" applyNumberFormat="1" applyFont="1" applyBorder="1" applyAlignment="1">
      <alignment horizontal="center" vertical="center"/>
    </xf>
    <xf numFmtId="167" fontId="23" fillId="20" borderId="8" xfId="0" applyNumberFormat="1" applyFont="1" applyFill="1" applyBorder="1" applyAlignment="1">
      <alignment horizontal="center" vertical="center"/>
    </xf>
    <xf numFmtId="167" fontId="21" fillId="20" borderId="8" xfId="0" applyNumberFormat="1" applyFont="1" applyFill="1" applyBorder="1" applyAlignment="1">
      <alignment horizontal="center" vertical="center"/>
    </xf>
    <xf numFmtId="0" fontId="21" fillId="0" borderId="30" xfId="0" applyFont="1" applyBorder="1"/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  <xf numFmtId="0" fontId="30" fillId="3" borderId="8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15" fontId="32" fillId="0" borderId="8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6" t="s">
        <v>5</v>
      </c>
      <c r="F3" s="267"/>
      <c r="G3" s="267"/>
      <c r="H3" s="268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61" t="s">
        <v>6</v>
      </c>
      <c r="Y3" s="261" t="s">
        <v>7</v>
      </c>
      <c r="Z3" s="120"/>
      <c r="AA3" s="114"/>
      <c r="AB3" s="114"/>
    </row>
    <row r="4" spans="1:35" ht="27" customHeight="1">
      <c r="A4" s="262"/>
      <c r="B4" s="262"/>
      <c r="C4" s="262"/>
      <c r="D4" s="262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62"/>
      <c r="Y4" s="262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6" t="s">
        <v>5</v>
      </c>
      <c r="F18" s="267"/>
      <c r="G18" s="267"/>
      <c r="H18" s="268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61" t="s">
        <v>6</v>
      </c>
      <c r="Z18" s="261" t="s">
        <v>7</v>
      </c>
      <c r="AA18" s="120"/>
      <c r="AB18" s="114"/>
    </row>
    <row r="19" spans="1:29" ht="26.25" customHeight="1">
      <c r="A19" s="262"/>
      <c r="B19" s="262"/>
      <c r="C19" s="262"/>
      <c r="D19" s="262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62"/>
      <c r="Z19" s="262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3" t="s">
        <v>0</v>
      </c>
      <c r="B46" s="264"/>
      <c r="C46" s="265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3" t="s">
        <v>22</v>
      </c>
      <c r="B53" s="264"/>
      <c r="C53" s="26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1" t="s">
        <v>5</v>
      </c>
      <c r="F3" s="270"/>
      <c r="G3" s="270"/>
      <c r="H3" s="270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69" t="s">
        <v>6</v>
      </c>
      <c r="Y3" s="269" t="s">
        <v>7</v>
      </c>
      <c r="Z3" s="209"/>
      <c r="AA3" s="114"/>
      <c r="AB3" s="114"/>
    </row>
    <row r="4" spans="1:35" ht="27" customHeight="1">
      <c r="A4" s="270"/>
      <c r="B4" s="270"/>
      <c r="C4" s="270"/>
      <c r="D4" s="270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70"/>
      <c r="Y4" s="270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9" t="s">
        <v>1</v>
      </c>
      <c r="B18" s="269" t="s">
        <v>2</v>
      </c>
      <c r="C18" s="269" t="s">
        <v>3</v>
      </c>
      <c r="D18" s="269" t="s">
        <v>4</v>
      </c>
      <c r="E18" s="271" t="s">
        <v>5</v>
      </c>
      <c r="F18" s="270"/>
      <c r="G18" s="270"/>
      <c r="H18" s="270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69" t="s">
        <v>6</v>
      </c>
      <c r="Z18" s="269" t="s">
        <v>7</v>
      </c>
      <c r="AA18" s="209"/>
      <c r="AB18" s="114"/>
    </row>
    <row r="19" spans="1:29" ht="26.25" customHeight="1">
      <c r="A19" s="270"/>
      <c r="B19" s="270"/>
      <c r="C19" s="270"/>
      <c r="D19" s="270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70"/>
      <c r="Z19" s="270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3" t="s">
        <v>0</v>
      </c>
      <c r="B46" s="264"/>
      <c r="C46" s="26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3" t="s">
        <v>22</v>
      </c>
      <c r="B53" s="264"/>
      <c r="C53" s="26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1" t="s">
        <v>5</v>
      </c>
      <c r="F3" s="270"/>
      <c r="G3" s="270"/>
      <c r="H3" s="270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69" t="s">
        <v>6</v>
      </c>
      <c r="Y3" s="269" t="s">
        <v>7</v>
      </c>
      <c r="Z3" s="209"/>
      <c r="AA3" s="114"/>
      <c r="AB3" s="114"/>
    </row>
    <row r="4" spans="1:35" ht="27" customHeight="1">
      <c r="A4" s="270"/>
      <c r="B4" s="270"/>
      <c r="C4" s="270"/>
      <c r="D4" s="270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70"/>
      <c r="Y4" s="270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9" t="s">
        <v>1</v>
      </c>
      <c r="B18" s="269" t="s">
        <v>2</v>
      </c>
      <c r="C18" s="269" t="s">
        <v>3</v>
      </c>
      <c r="D18" s="269" t="s">
        <v>4</v>
      </c>
      <c r="E18" s="271" t="s">
        <v>5</v>
      </c>
      <c r="F18" s="270"/>
      <c r="G18" s="270"/>
      <c r="H18" s="270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69" t="s">
        <v>6</v>
      </c>
      <c r="Z18" s="269" t="s">
        <v>7</v>
      </c>
      <c r="AA18" s="209"/>
      <c r="AB18" s="114"/>
    </row>
    <row r="19" spans="1:29" ht="26.25" customHeight="1">
      <c r="A19" s="270"/>
      <c r="B19" s="270"/>
      <c r="C19" s="270"/>
      <c r="D19" s="270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70"/>
      <c r="Z19" s="270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3" t="s">
        <v>0</v>
      </c>
      <c r="B46" s="264"/>
      <c r="C46" s="26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3" t="s">
        <v>22</v>
      </c>
      <c r="B53" s="264"/>
      <c r="C53" s="26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1" t="s">
        <v>5</v>
      </c>
      <c r="F3" s="270"/>
      <c r="G3" s="270"/>
      <c r="H3" s="270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69" t="s">
        <v>6</v>
      </c>
      <c r="Y3" s="269" t="s">
        <v>7</v>
      </c>
      <c r="Z3" s="209"/>
      <c r="AA3" s="114"/>
      <c r="AB3" s="114"/>
    </row>
    <row r="4" spans="1:35" ht="27" customHeight="1">
      <c r="A4" s="270"/>
      <c r="B4" s="270"/>
      <c r="C4" s="270"/>
      <c r="D4" s="270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70"/>
      <c r="Y4" s="270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9" t="s">
        <v>1</v>
      </c>
      <c r="B18" s="269" t="s">
        <v>2</v>
      </c>
      <c r="C18" s="269" t="s">
        <v>3</v>
      </c>
      <c r="D18" s="269" t="s">
        <v>4</v>
      </c>
      <c r="E18" s="271" t="s">
        <v>5</v>
      </c>
      <c r="F18" s="270"/>
      <c r="G18" s="270"/>
      <c r="H18" s="270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69" t="s">
        <v>6</v>
      </c>
      <c r="Z18" s="269" t="s">
        <v>7</v>
      </c>
      <c r="AA18" s="209"/>
      <c r="AB18" s="114"/>
    </row>
    <row r="19" spans="1:29" ht="26.25" customHeight="1">
      <c r="A19" s="270"/>
      <c r="B19" s="270"/>
      <c r="C19" s="270"/>
      <c r="D19" s="270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70"/>
      <c r="Z19" s="270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3" t="s">
        <v>0</v>
      </c>
      <c r="B46" s="264"/>
      <c r="C46" s="26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3" t="s">
        <v>22</v>
      </c>
      <c r="B53" s="264"/>
      <c r="C53" s="26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9"/>
  <sheetViews>
    <sheetView showGridLines="0" tabSelected="1" topLeftCell="A4" workbookViewId="0">
      <pane xSplit="2" topLeftCell="C1" activePane="topRight" state="frozen"/>
      <selection pane="topRight" activeCell="G17" sqref="G17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4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4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4" ht="35.25" customHeight="1" thickBot="1">
      <c r="A3" s="269" t="s">
        <v>1</v>
      </c>
      <c r="B3" s="269" t="s">
        <v>2</v>
      </c>
      <c r="C3" s="280" t="s">
        <v>54</v>
      </c>
      <c r="D3" s="269" t="s">
        <v>3</v>
      </c>
      <c r="E3" s="269" t="s">
        <v>4</v>
      </c>
      <c r="F3" s="271" t="s">
        <v>5</v>
      </c>
      <c r="G3" s="270"/>
      <c r="H3" s="270"/>
      <c r="I3" s="270"/>
      <c r="J3" s="141">
        <f>C1</f>
        <v>45962</v>
      </c>
      <c r="K3" s="141">
        <f t="shared" ref="K3:X3" si="0">J3+1</f>
        <v>45963</v>
      </c>
      <c r="L3" s="141">
        <f t="shared" si="0"/>
        <v>45964</v>
      </c>
      <c r="M3" s="141">
        <f t="shared" si="0"/>
        <v>45965</v>
      </c>
      <c r="N3" s="141">
        <f t="shared" si="0"/>
        <v>45966</v>
      </c>
      <c r="O3" s="141">
        <f t="shared" si="0"/>
        <v>45967</v>
      </c>
      <c r="P3" s="141">
        <f t="shared" si="0"/>
        <v>45968</v>
      </c>
      <c r="Q3" s="141">
        <f t="shared" si="0"/>
        <v>45969</v>
      </c>
      <c r="R3" s="141">
        <f t="shared" si="0"/>
        <v>45970</v>
      </c>
      <c r="S3" s="141">
        <f t="shared" si="0"/>
        <v>45971</v>
      </c>
      <c r="T3" s="141">
        <f t="shared" si="0"/>
        <v>45972</v>
      </c>
      <c r="U3" s="141">
        <f t="shared" si="0"/>
        <v>45973</v>
      </c>
      <c r="V3" s="141">
        <f t="shared" si="0"/>
        <v>45974</v>
      </c>
      <c r="W3" s="141">
        <f t="shared" si="0"/>
        <v>45975</v>
      </c>
      <c r="X3" s="141">
        <f t="shared" si="0"/>
        <v>45976</v>
      </c>
      <c r="Y3" s="269" t="s">
        <v>6</v>
      </c>
      <c r="Z3" s="269" t="s">
        <v>7</v>
      </c>
      <c r="AA3" s="209"/>
      <c r="AB3" s="210"/>
      <c r="AC3" s="114"/>
    </row>
    <row r="4" spans="1:34" ht="27" customHeight="1" thickBot="1">
      <c r="A4" s="270"/>
      <c r="B4" s="270"/>
      <c r="C4" s="270"/>
      <c r="D4" s="270"/>
      <c r="E4" s="270"/>
      <c r="F4" s="219" t="s">
        <v>8</v>
      </c>
      <c r="G4" s="220" t="s">
        <v>9</v>
      </c>
      <c r="H4" s="165" t="s">
        <v>10</v>
      </c>
      <c r="I4" s="165" t="s">
        <v>11</v>
      </c>
      <c r="J4" s="221" t="str">
        <f t="shared" ref="J4:X4" si="1">IF(J3="","",TEXT(WEEKDAY(J3), "ddd"))</f>
        <v>Sat</v>
      </c>
      <c r="K4" s="127" t="str">
        <f t="shared" si="1"/>
        <v>Sun</v>
      </c>
      <c r="L4" s="127" t="str">
        <f t="shared" si="1"/>
        <v>Mon</v>
      </c>
      <c r="M4" s="222" t="str">
        <f t="shared" si="1"/>
        <v>Tue</v>
      </c>
      <c r="N4" s="222" t="str">
        <f t="shared" si="1"/>
        <v>Wed</v>
      </c>
      <c r="O4" s="221" t="str">
        <f t="shared" si="1"/>
        <v>Thu</v>
      </c>
      <c r="P4" s="221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22" t="str">
        <f t="shared" si="1"/>
        <v>Sat</v>
      </c>
      <c r="Y4" s="270"/>
      <c r="Z4" s="270"/>
      <c r="AA4" s="209"/>
      <c r="AB4" s="240" t="s">
        <v>12</v>
      </c>
      <c r="AC4" s="238"/>
      <c r="AD4" s="130"/>
      <c r="AE4" s="130"/>
      <c r="AF4" s="130"/>
      <c r="AG4" s="130"/>
      <c r="AH4" s="130"/>
    </row>
    <row r="5" spans="1:34" ht="12.75" customHeight="1">
      <c r="A5" s="131" t="s">
        <v>40</v>
      </c>
      <c r="B5" s="132" t="s">
        <v>47</v>
      </c>
      <c r="C5" s="281" t="s">
        <v>55</v>
      </c>
      <c r="D5" s="133">
        <v>43437</v>
      </c>
      <c r="E5" s="134">
        <f t="shared" ref="E5:E10" si="2">F5</f>
        <v>80</v>
      </c>
      <c r="F5" s="134">
        <f t="shared" ref="F5:F10" si="3">Z5*8</f>
        <v>80</v>
      </c>
      <c r="G5" s="134">
        <f t="shared" ref="G5:G10" si="4">H5+I5</f>
        <v>80</v>
      </c>
      <c r="H5" s="134">
        <f t="shared" ref="H5:H10" si="5">SUM(J5:X5)</f>
        <v>80</v>
      </c>
      <c r="I5" s="135">
        <v>0</v>
      </c>
      <c r="J5" s="245" t="s">
        <v>39</v>
      </c>
      <c r="K5" s="245" t="s">
        <v>39</v>
      </c>
      <c r="L5" s="183">
        <v>8</v>
      </c>
      <c r="M5" s="183">
        <v>8</v>
      </c>
      <c r="N5" s="183">
        <v>8</v>
      </c>
      <c r="O5" s="140">
        <v>8</v>
      </c>
      <c r="P5" s="140">
        <v>8</v>
      </c>
      <c r="Q5" s="245" t="s">
        <v>39</v>
      </c>
      <c r="R5" s="245" t="s">
        <v>39</v>
      </c>
      <c r="S5" s="207">
        <v>8</v>
      </c>
      <c r="T5" s="183">
        <v>8</v>
      </c>
      <c r="U5" s="207">
        <v>8</v>
      </c>
      <c r="V5" s="140">
        <v>8</v>
      </c>
      <c r="W5" s="140">
        <v>8</v>
      </c>
      <c r="X5" s="245" t="s">
        <v>39</v>
      </c>
      <c r="Y5" s="134"/>
      <c r="Z5" s="136">
        <v>10</v>
      </c>
      <c r="AA5" s="209"/>
      <c r="AB5" s="239" t="s">
        <v>15</v>
      </c>
      <c r="AC5" s="130"/>
      <c r="AD5" s="130"/>
      <c r="AE5" s="130"/>
      <c r="AF5" s="130"/>
      <c r="AG5" s="130"/>
      <c r="AH5" s="130"/>
    </row>
    <row r="6" spans="1:34" ht="12.75" customHeight="1">
      <c r="A6" s="131" t="s">
        <v>41</v>
      </c>
      <c r="B6" s="132" t="s">
        <v>47</v>
      </c>
      <c r="C6" s="281" t="s">
        <v>56</v>
      </c>
      <c r="D6" s="133">
        <v>45028</v>
      </c>
      <c r="E6" s="134">
        <f t="shared" si="2"/>
        <v>80</v>
      </c>
      <c r="F6" s="134">
        <f t="shared" si="3"/>
        <v>80</v>
      </c>
      <c r="G6" s="134">
        <f t="shared" si="4"/>
        <v>80</v>
      </c>
      <c r="H6" s="134">
        <f t="shared" si="5"/>
        <v>80</v>
      </c>
      <c r="I6" s="135">
        <v>0</v>
      </c>
      <c r="J6" s="245" t="s">
        <v>39</v>
      </c>
      <c r="K6" s="245" t="s">
        <v>39</v>
      </c>
      <c r="L6" s="183">
        <v>8</v>
      </c>
      <c r="M6" s="183">
        <v>8</v>
      </c>
      <c r="N6" s="183">
        <v>8</v>
      </c>
      <c r="O6" s="140">
        <v>8</v>
      </c>
      <c r="P6" s="140">
        <v>8</v>
      </c>
      <c r="Q6" s="245" t="s">
        <v>39</v>
      </c>
      <c r="R6" s="245" t="s">
        <v>39</v>
      </c>
      <c r="S6" s="183">
        <v>8</v>
      </c>
      <c r="T6" s="183">
        <v>8</v>
      </c>
      <c r="U6" s="183">
        <v>8</v>
      </c>
      <c r="V6" s="140">
        <v>8</v>
      </c>
      <c r="W6" s="140">
        <v>8</v>
      </c>
      <c r="X6" s="245" t="s">
        <v>39</v>
      </c>
      <c r="Y6" s="134"/>
      <c r="Z6" s="136">
        <v>10</v>
      </c>
      <c r="AA6" s="209"/>
      <c r="AB6" s="237" t="s">
        <v>6</v>
      </c>
      <c r="AC6" s="130"/>
      <c r="AD6" s="130"/>
      <c r="AE6" s="130"/>
      <c r="AF6" s="130"/>
      <c r="AG6" s="130"/>
      <c r="AH6" s="130"/>
    </row>
    <row r="7" spans="1:34" ht="12.75" customHeight="1">
      <c r="A7" s="131" t="s">
        <v>42</v>
      </c>
      <c r="B7" s="132" t="s">
        <v>47</v>
      </c>
      <c r="C7" s="281" t="s">
        <v>57</v>
      </c>
      <c r="D7" s="133">
        <v>43395</v>
      </c>
      <c r="E7" s="134">
        <f t="shared" si="2"/>
        <v>80</v>
      </c>
      <c r="F7" s="134">
        <f t="shared" si="3"/>
        <v>80</v>
      </c>
      <c r="G7" s="134">
        <f t="shared" si="4"/>
        <v>72</v>
      </c>
      <c r="H7" s="134">
        <f t="shared" si="5"/>
        <v>72</v>
      </c>
      <c r="I7" s="135">
        <v>0</v>
      </c>
      <c r="J7" s="245" t="s">
        <v>39</v>
      </c>
      <c r="K7" s="245" t="s">
        <v>39</v>
      </c>
      <c r="L7" s="183">
        <v>8</v>
      </c>
      <c r="M7" s="183">
        <v>8</v>
      </c>
      <c r="N7" s="183">
        <v>8</v>
      </c>
      <c r="O7" s="140">
        <v>8</v>
      </c>
      <c r="P7" s="140">
        <v>8</v>
      </c>
      <c r="Q7" s="245" t="s">
        <v>39</v>
      </c>
      <c r="R7" s="245" t="s">
        <v>39</v>
      </c>
      <c r="S7" s="183">
        <v>8</v>
      </c>
      <c r="T7" s="183">
        <v>8</v>
      </c>
      <c r="U7" s="236"/>
      <c r="V7" s="140">
        <v>8</v>
      </c>
      <c r="W7" s="140">
        <v>8</v>
      </c>
      <c r="X7" s="245" t="s">
        <v>39</v>
      </c>
      <c r="Y7" s="134">
        <v>1</v>
      </c>
      <c r="Z7" s="136">
        <v>10</v>
      </c>
      <c r="AA7" s="209"/>
      <c r="AB7" s="202" t="s">
        <v>18</v>
      </c>
      <c r="AC7" s="130"/>
      <c r="AD7" s="130"/>
      <c r="AE7" s="130"/>
      <c r="AF7" s="130"/>
      <c r="AG7" s="130"/>
      <c r="AH7" s="130"/>
    </row>
    <row r="8" spans="1:34" ht="12.75" customHeight="1">
      <c r="A8" s="131" t="s">
        <v>43</v>
      </c>
      <c r="B8" s="132" t="s">
        <v>47</v>
      </c>
      <c r="C8" s="281" t="s">
        <v>56</v>
      </c>
      <c r="D8" s="138">
        <v>43741</v>
      </c>
      <c r="E8" s="134">
        <f t="shared" si="2"/>
        <v>80</v>
      </c>
      <c r="F8" s="134">
        <f t="shared" si="3"/>
        <v>80</v>
      </c>
      <c r="G8" s="134">
        <f t="shared" si="4"/>
        <v>80</v>
      </c>
      <c r="H8" s="134">
        <f t="shared" si="5"/>
        <v>80</v>
      </c>
      <c r="I8" s="135">
        <v>0</v>
      </c>
      <c r="J8" s="245" t="s">
        <v>39</v>
      </c>
      <c r="K8" s="245" t="s">
        <v>39</v>
      </c>
      <c r="L8" s="243">
        <v>8</v>
      </c>
      <c r="M8" s="183">
        <v>8</v>
      </c>
      <c r="N8" s="243">
        <v>8</v>
      </c>
      <c r="O8" s="140">
        <v>8</v>
      </c>
      <c r="P8" s="140">
        <v>8</v>
      </c>
      <c r="Q8" s="245" t="s">
        <v>39</v>
      </c>
      <c r="R8" s="245" t="s">
        <v>39</v>
      </c>
      <c r="S8" s="183">
        <v>8</v>
      </c>
      <c r="T8" s="183">
        <v>8</v>
      </c>
      <c r="U8" s="183">
        <v>8</v>
      </c>
      <c r="V8" s="140">
        <v>8</v>
      </c>
      <c r="W8" s="140">
        <v>8</v>
      </c>
      <c r="X8" s="245" t="s">
        <v>39</v>
      </c>
      <c r="Y8" s="134"/>
      <c r="Z8" s="136">
        <v>10</v>
      </c>
      <c r="AA8" s="209"/>
      <c r="AB8" s="114"/>
      <c r="AC8" s="130"/>
      <c r="AD8" s="130"/>
      <c r="AE8" s="130"/>
      <c r="AF8" s="130"/>
      <c r="AG8" s="130"/>
      <c r="AH8" s="130"/>
    </row>
    <row r="9" spans="1:34" ht="12.75" customHeight="1">
      <c r="A9" s="139" t="s">
        <v>44</v>
      </c>
      <c r="B9" s="132" t="s">
        <v>47</v>
      </c>
      <c r="C9" s="281" t="s">
        <v>58</v>
      </c>
      <c r="D9" s="138">
        <v>43731</v>
      </c>
      <c r="E9" s="134">
        <f t="shared" si="2"/>
        <v>80</v>
      </c>
      <c r="F9" s="134">
        <f t="shared" si="3"/>
        <v>80</v>
      </c>
      <c r="G9" s="134">
        <f t="shared" si="4"/>
        <v>80</v>
      </c>
      <c r="H9" s="134">
        <f t="shared" si="5"/>
        <v>80</v>
      </c>
      <c r="I9" s="135">
        <v>0</v>
      </c>
      <c r="J9" s="245" t="s">
        <v>39</v>
      </c>
      <c r="K9" s="245" t="s">
        <v>39</v>
      </c>
      <c r="L9" s="183">
        <v>8</v>
      </c>
      <c r="M9" s="241">
        <v>8</v>
      </c>
      <c r="N9" s="183">
        <v>8</v>
      </c>
      <c r="O9" s="140">
        <v>8</v>
      </c>
      <c r="P9" s="140">
        <v>8</v>
      </c>
      <c r="Q9" s="245" t="s">
        <v>39</v>
      </c>
      <c r="R9" s="245" t="s">
        <v>39</v>
      </c>
      <c r="S9" s="183">
        <v>8</v>
      </c>
      <c r="T9" s="183">
        <v>8</v>
      </c>
      <c r="U9" s="183">
        <v>8</v>
      </c>
      <c r="V9" s="140">
        <v>8</v>
      </c>
      <c r="W9" s="140">
        <v>8</v>
      </c>
      <c r="X9" s="245" t="s">
        <v>39</v>
      </c>
      <c r="Y9" s="134"/>
      <c r="Z9" s="136">
        <v>10</v>
      </c>
      <c r="AA9" s="209"/>
      <c r="AB9" s="114"/>
      <c r="AC9" s="130"/>
      <c r="AD9" s="130"/>
      <c r="AE9" s="130"/>
      <c r="AF9" s="130"/>
      <c r="AG9" s="130"/>
      <c r="AH9" s="130"/>
    </row>
    <row r="10" spans="1:34" ht="12.75" customHeight="1">
      <c r="A10" s="139" t="s">
        <v>45</v>
      </c>
      <c r="B10" s="132" t="s">
        <v>47</v>
      </c>
      <c r="C10" s="281" t="s">
        <v>59</v>
      </c>
      <c r="D10" s="138">
        <v>45628</v>
      </c>
      <c r="E10" s="134">
        <f t="shared" si="2"/>
        <v>80</v>
      </c>
      <c r="F10" s="134">
        <f t="shared" si="3"/>
        <v>80</v>
      </c>
      <c r="G10" s="134">
        <f t="shared" si="4"/>
        <v>80</v>
      </c>
      <c r="H10" s="134">
        <f t="shared" si="5"/>
        <v>80</v>
      </c>
      <c r="I10" s="135">
        <v>0</v>
      </c>
      <c r="J10" s="245" t="s">
        <v>39</v>
      </c>
      <c r="K10" s="245" t="s">
        <v>39</v>
      </c>
      <c r="L10" s="241">
        <v>8</v>
      </c>
      <c r="M10" s="241">
        <v>8</v>
      </c>
      <c r="N10" s="241">
        <v>8</v>
      </c>
      <c r="O10" s="140">
        <v>8</v>
      </c>
      <c r="P10" s="140">
        <v>8</v>
      </c>
      <c r="Q10" s="245" t="s">
        <v>39</v>
      </c>
      <c r="R10" s="245" t="s">
        <v>39</v>
      </c>
      <c r="S10" s="241">
        <v>8</v>
      </c>
      <c r="T10" s="241">
        <v>8</v>
      </c>
      <c r="U10" s="241">
        <v>8</v>
      </c>
      <c r="V10" s="140">
        <v>8</v>
      </c>
      <c r="W10" s="140">
        <v>8</v>
      </c>
      <c r="X10" s="245" t="s">
        <v>39</v>
      </c>
      <c r="Y10" s="134"/>
      <c r="Z10" s="136">
        <v>10</v>
      </c>
      <c r="AA10" s="209"/>
      <c r="AB10" s="114"/>
      <c r="AC10" s="130"/>
      <c r="AD10" s="130"/>
      <c r="AE10" s="130"/>
      <c r="AF10" s="130"/>
      <c r="AG10" s="130"/>
      <c r="AH10" s="130"/>
    </row>
    <row r="11" spans="1:34" ht="12.75" hidden="1" customHeight="1">
      <c r="A11" s="140"/>
      <c r="B11" s="132" t="s">
        <v>47</v>
      </c>
      <c r="C11" s="140"/>
      <c r="D11" s="138">
        <v>45629</v>
      </c>
      <c r="E11" s="140"/>
      <c r="F11" s="140"/>
      <c r="G11" s="140"/>
      <c r="H11" s="140"/>
      <c r="I11" s="135">
        <v>0</v>
      </c>
      <c r="J11" s="245" t="s">
        <v>39</v>
      </c>
      <c r="K11" s="245" t="s">
        <v>39</v>
      </c>
      <c r="L11" s="140"/>
      <c r="M11" s="140"/>
      <c r="N11" s="140"/>
      <c r="O11" s="140"/>
      <c r="P11" s="140"/>
      <c r="Q11" s="245" t="s">
        <v>39</v>
      </c>
      <c r="R11" s="245" t="s">
        <v>39</v>
      </c>
      <c r="S11" s="140"/>
      <c r="T11" s="140"/>
      <c r="U11" s="140"/>
      <c r="V11" s="140"/>
      <c r="W11" s="140"/>
      <c r="X11" s="245" t="s">
        <v>39</v>
      </c>
      <c r="Y11" s="134">
        <f t="shared" ref="Y11:Y14" si="6">Z11-COUNTA(J11:X11)</f>
        <v>5</v>
      </c>
      <c r="Z11" s="135">
        <f t="shared" ref="Z11:Z14" si="7">NETWORKDAYS($J$3,$X$3,$X$3)</f>
        <v>10</v>
      </c>
      <c r="AA11" s="209"/>
      <c r="AB11" s="114"/>
      <c r="AC11" s="130"/>
      <c r="AD11" s="130"/>
      <c r="AE11" s="130"/>
      <c r="AF11" s="130"/>
      <c r="AG11" s="130"/>
      <c r="AH11" s="130"/>
    </row>
    <row r="12" spans="1:34" ht="12.75" hidden="1" customHeight="1">
      <c r="A12" s="140"/>
      <c r="B12" s="132" t="s">
        <v>47</v>
      </c>
      <c r="C12" s="140"/>
      <c r="D12" s="138">
        <v>45630</v>
      </c>
      <c r="E12" s="140"/>
      <c r="F12" s="140"/>
      <c r="G12" s="140"/>
      <c r="H12" s="140"/>
      <c r="I12" s="135">
        <v>0</v>
      </c>
      <c r="J12" s="245" t="s">
        <v>39</v>
      </c>
      <c r="K12" s="245" t="s">
        <v>39</v>
      </c>
      <c r="L12" s="140"/>
      <c r="M12" s="140"/>
      <c r="N12" s="140"/>
      <c r="O12" s="140"/>
      <c r="P12" s="140"/>
      <c r="Q12" s="245" t="s">
        <v>39</v>
      </c>
      <c r="R12" s="245" t="s">
        <v>39</v>
      </c>
      <c r="S12" s="140"/>
      <c r="T12" s="140"/>
      <c r="U12" s="140"/>
      <c r="V12" s="140"/>
      <c r="W12" s="140"/>
      <c r="X12" s="245" t="s">
        <v>39</v>
      </c>
      <c r="Y12" s="134">
        <f t="shared" si="6"/>
        <v>5</v>
      </c>
      <c r="Z12" s="135">
        <f t="shared" si="7"/>
        <v>10</v>
      </c>
      <c r="AA12" s="209"/>
      <c r="AB12" s="114"/>
      <c r="AC12" s="130"/>
      <c r="AD12" s="130"/>
      <c r="AE12" s="130"/>
      <c r="AF12" s="130"/>
      <c r="AG12" s="130"/>
      <c r="AH12" s="130"/>
    </row>
    <row r="13" spans="1:34" ht="12.75" hidden="1" customHeight="1">
      <c r="A13" s="140"/>
      <c r="B13" s="132" t="s">
        <v>47</v>
      </c>
      <c r="C13" s="140"/>
      <c r="D13" s="138">
        <v>45631</v>
      </c>
      <c r="E13" s="140"/>
      <c r="F13" s="140"/>
      <c r="G13" s="140"/>
      <c r="H13" s="140"/>
      <c r="I13" s="135">
        <v>0</v>
      </c>
      <c r="J13" s="245" t="s">
        <v>39</v>
      </c>
      <c r="K13" s="245" t="s">
        <v>39</v>
      </c>
      <c r="L13" s="140"/>
      <c r="M13" s="140"/>
      <c r="N13" s="140"/>
      <c r="O13" s="140"/>
      <c r="P13" s="140"/>
      <c r="Q13" s="245" t="s">
        <v>39</v>
      </c>
      <c r="R13" s="245" t="s">
        <v>39</v>
      </c>
      <c r="S13" s="140"/>
      <c r="T13" s="140"/>
      <c r="U13" s="140"/>
      <c r="V13" s="140"/>
      <c r="W13" s="140"/>
      <c r="X13" s="245" t="s">
        <v>39</v>
      </c>
      <c r="Y13" s="134">
        <f t="shared" si="6"/>
        <v>5</v>
      </c>
      <c r="Z13" s="135">
        <f t="shared" si="7"/>
        <v>10</v>
      </c>
      <c r="AA13" s="209"/>
      <c r="AB13" s="114"/>
      <c r="AC13" s="130"/>
      <c r="AD13" s="130"/>
      <c r="AE13" s="130"/>
      <c r="AF13" s="130"/>
      <c r="AG13" s="130"/>
      <c r="AH13" s="130"/>
    </row>
    <row r="14" spans="1:34" ht="12.75" hidden="1" customHeight="1">
      <c r="A14" s="140"/>
      <c r="B14" s="132" t="s">
        <v>47</v>
      </c>
      <c r="C14" s="140"/>
      <c r="D14" s="138">
        <v>45632</v>
      </c>
      <c r="E14" s="140"/>
      <c r="F14" s="140"/>
      <c r="G14" s="140"/>
      <c r="H14" s="140"/>
      <c r="I14" s="135">
        <v>0</v>
      </c>
      <c r="J14" s="245" t="s">
        <v>39</v>
      </c>
      <c r="K14" s="245" t="s">
        <v>39</v>
      </c>
      <c r="L14" s="140"/>
      <c r="M14" s="140"/>
      <c r="N14" s="140"/>
      <c r="O14" s="140"/>
      <c r="P14" s="140"/>
      <c r="Q14" s="245" t="s">
        <v>39</v>
      </c>
      <c r="R14" s="245" t="s">
        <v>39</v>
      </c>
      <c r="S14" s="140"/>
      <c r="T14" s="140"/>
      <c r="U14" s="140"/>
      <c r="V14" s="140"/>
      <c r="W14" s="140"/>
      <c r="X14" s="245" t="s">
        <v>39</v>
      </c>
      <c r="Y14" s="134">
        <f t="shared" si="6"/>
        <v>5</v>
      </c>
      <c r="Z14" s="135">
        <f t="shared" si="7"/>
        <v>10</v>
      </c>
      <c r="AA14" s="209"/>
      <c r="AB14" s="114"/>
      <c r="AC14" s="130"/>
      <c r="AD14" s="130"/>
      <c r="AE14" s="130"/>
      <c r="AF14" s="130"/>
      <c r="AG14" s="130"/>
      <c r="AH14" s="130"/>
    </row>
    <row r="15" spans="1:34" ht="12.75" customHeight="1">
      <c r="A15" s="139" t="s">
        <v>46</v>
      </c>
      <c r="B15" s="132" t="s">
        <v>47</v>
      </c>
      <c r="C15" s="282" t="s">
        <v>57</v>
      </c>
      <c r="D15" s="138">
        <v>45633</v>
      </c>
      <c r="E15" s="251">
        <v>80</v>
      </c>
      <c r="F15" s="251">
        <v>80</v>
      </c>
      <c r="G15" s="251">
        <v>80</v>
      </c>
      <c r="H15" s="251">
        <v>80</v>
      </c>
      <c r="I15" s="135">
        <v>0</v>
      </c>
      <c r="J15" s="245" t="s">
        <v>39</v>
      </c>
      <c r="K15" s="245" t="s">
        <v>39</v>
      </c>
      <c r="L15" s="140">
        <v>8</v>
      </c>
      <c r="M15" s="140">
        <v>8</v>
      </c>
      <c r="N15" s="140">
        <v>8</v>
      </c>
      <c r="O15" s="140">
        <v>8</v>
      </c>
      <c r="P15" s="140">
        <v>8</v>
      </c>
      <c r="Q15" s="245" t="s">
        <v>39</v>
      </c>
      <c r="R15" s="245" t="s">
        <v>39</v>
      </c>
      <c r="S15" s="140">
        <v>8</v>
      </c>
      <c r="T15" s="140">
        <v>8</v>
      </c>
      <c r="U15" s="140">
        <v>8</v>
      </c>
      <c r="V15" s="140">
        <v>8</v>
      </c>
      <c r="W15" s="140">
        <v>8</v>
      </c>
      <c r="X15" s="245" t="s">
        <v>39</v>
      </c>
      <c r="Y15" s="134"/>
      <c r="Z15" s="135">
        <v>10</v>
      </c>
      <c r="AA15" s="209"/>
      <c r="AB15" s="114"/>
      <c r="AC15" s="130"/>
      <c r="AD15" s="130"/>
      <c r="AE15" s="130"/>
      <c r="AF15" s="130"/>
      <c r="AG15" s="130"/>
      <c r="AH15" s="130"/>
    </row>
    <row r="16" spans="1:34" ht="12.75" customHeight="1">
      <c r="A16" s="223"/>
      <c r="B16" s="223"/>
      <c r="C16" s="223"/>
      <c r="D16" s="224">
        <f>SUM(E5:E14)</f>
        <v>480</v>
      </c>
      <c r="E16" s="224">
        <f>SUM(F5:F14)</f>
        <v>480</v>
      </c>
      <c r="F16" s="224">
        <f>SUM(G5:G14)</f>
        <v>472</v>
      </c>
      <c r="G16" s="224">
        <f>SUM(H5:H14)</f>
        <v>472</v>
      </c>
      <c r="H16" s="224">
        <f>SUM(I5:I14)</f>
        <v>0</v>
      </c>
      <c r="I16" s="224">
        <f>SUM(J5:J14)</f>
        <v>0</v>
      </c>
      <c r="J16" s="224">
        <f>SUM(K5:K14)</f>
        <v>0</v>
      </c>
      <c r="K16" s="224">
        <f>SUM(L5:L14)</f>
        <v>48</v>
      </c>
      <c r="L16" s="224">
        <f>SUM(M5:M14)</f>
        <v>48</v>
      </c>
      <c r="M16" s="224">
        <f>SUM(N5:N14)</f>
        <v>48</v>
      </c>
      <c r="N16" s="224">
        <f>SUM(O5:O14)</f>
        <v>48</v>
      </c>
      <c r="O16" s="224">
        <f>SUM(P5:P14)</f>
        <v>48</v>
      </c>
      <c r="P16" s="224">
        <f>SUM(Q5:Q14)</f>
        <v>0</v>
      </c>
      <c r="Q16" s="224">
        <f>SUM(R5:R14)</f>
        <v>0</v>
      </c>
      <c r="R16" s="224">
        <f>SUM(S5:S14)</f>
        <v>48</v>
      </c>
      <c r="S16" s="224">
        <f>SUM(T5:T14)</f>
        <v>48</v>
      </c>
      <c r="T16" s="224">
        <f>SUM(U5:U14)</f>
        <v>40</v>
      </c>
      <c r="U16" s="224">
        <f>SUM(V5:V14)</f>
        <v>48</v>
      </c>
      <c r="V16" s="224">
        <f>SUM(W5:W14)</f>
        <v>48</v>
      </c>
      <c r="W16" s="224">
        <f>SUM(X5:X14)</f>
        <v>0</v>
      </c>
      <c r="X16" s="224"/>
      <c r="Y16" s="224"/>
      <c r="Z16" s="209"/>
      <c r="AA16" s="114"/>
      <c r="AB16" s="130"/>
      <c r="AC16" s="130"/>
      <c r="AD16" s="130"/>
      <c r="AE16" s="130"/>
      <c r="AF16" s="130"/>
      <c r="AG16" s="130"/>
    </row>
    <row r="17" spans="1:35" ht="15" customHeight="1">
      <c r="A17" s="209"/>
      <c r="B17" s="209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120"/>
      <c r="AA17" s="114"/>
      <c r="AB17" s="114"/>
      <c r="AC17" s="114"/>
      <c r="AD17" s="130"/>
      <c r="AE17" s="130"/>
      <c r="AF17" s="130"/>
      <c r="AG17" s="130"/>
      <c r="AH17" s="130"/>
      <c r="AI17" s="130"/>
    </row>
    <row r="18" spans="1:35" ht="15" customHeight="1">
      <c r="A18" s="225" t="s">
        <v>22</v>
      </c>
      <c r="B18" s="226"/>
      <c r="C18" s="226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114"/>
      <c r="AB18" s="120"/>
      <c r="AC18" s="114"/>
    </row>
    <row r="19" spans="1:35" ht="35.25" customHeight="1">
      <c r="A19" s="269" t="s">
        <v>1</v>
      </c>
      <c r="B19" s="269" t="s">
        <v>2</v>
      </c>
      <c r="C19" s="280" t="s">
        <v>54</v>
      </c>
      <c r="D19" s="269" t="s">
        <v>3</v>
      </c>
      <c r="E19" s="269" t="s">
        <v>4</v>
      </c>
      <c r="F19" s="271" t="s">
        <v>5</v>
      </c>
      <c r="G19" s="270"/>
      <c r="H19" s="270"/>
      <c r="I19" s="270"/>
      <c r="J19" s="141">
        <f>X3+1</f>
        <v>45977</v>
      </c>
      <c r="K19" s="141">
        <f t="shared" ref="K19:V19" si="8">J19+1</f>
        <v>45978</v>
      </c>
      <c r="L19" s="141">
        <f t="shared" si="8"/>
        <v>45979</v>
      </c>
      <c r="M19" s="141">
        <f t="shared" si="8"/>
        <v>45980</v>
      </c>
      <c r="N19" s="141">
        <f t="shared" si="8"/>
        <v>45981</v>
      </c>
      <c r="O19" s="141">
        <f t="shared" si="8"/>
        <v>45982</v>
      </c>
      <c r="P19" s="141">
        <f t="shared" si="8"/>
        <v>45983</v>
      </c>
      <c r="Q19" s="141">
        <f t="shared" si="8"/>
        <v>45984</v>
      </c>
      <c r="R19" s="141">
        <f t="shared" si="8"/>
        <v>45985</v>
      </c>
      <c r="S19" s="141">
        <f t="shared" si="8"/>
        <v>45986</v>
      </c>
      <c r="T19" s="141">
        <f t="shared" si="8"/>
        <v>45987</v>
      </c>
      <c r="U19" s="141">
        <f t="shared" si="8"/>
        <v>45988</v>
      </c>
      <c r="V19" s="141">
        <f t="shared" si="8"/>
        <v>45989</v>
      </c>
      <c r="W19" s="141">
        <f>V19+1</f>
        <v>45990</v>
      </c>
      <c r="X19" s="141">
        <f>W19+1</f>
        <v>45991</v>
      </c>
      <c r="Y19" s="141"/>
      <c r="Z19" s="269" t="s">
        <v>6</v>
      </c>
      <c r="AA19" s="269" t="s">
        <v>7</v>
      </c>
      <c r="AB19" s="209"/>
      <c r="AC19" s="114"/>
    </row>
    <row r="20" spans="1:35" ht="26.25" customHeight="1">
      <c r="A20" s="270"/>
      <c r="B20" s="270"/>
      <c r="C20" s="270"/>
      <c r="D20" s="270"/>
      <c r="E20" s="270"/>
      <c r="F20" s="219" t="s">
        <v>8</v>
      </c>
      <c r="G20" s="220" t="s">
        <v>9</v>
      </c>
      <c r="H20" s="165" t="s">
        <v>10</v>
      </c>
      <c r="I20" s="165" t="s">
        <v>11</v>
      </c>
      <c r="J20" s="222" t="str">
        <f t="shared" ref="J20:V20" si="9">IF(J19="","",TEXT(WEEKDAY(J19), "ddd"))</f>
        <v>Sun</v>
      </c>
      <c r="K20" s="222" t="str">
        <f t="shared" si="9"/>
        <v>Mon</v>
      </c>
      <c r="L20" s="222" t="str">
        <f t="shared" si="9"/>
        <v>Tue</v>
      </c>
      <c r="M20" s="222" t="str">
        <f t="shared" si="9"/>
        <v>Wed</v>
      </c>
      <c r="N20" s="222" t="str">
        <f t="shared" si="9"/>
        <v>Thu</v>
      </c>
      <c r="O20" s="222" t="str">
        <f t="shared" si="9"/>
        <v>Fri</v>
      </c>
      <c r="P20" s="222" t="str">
        <f t="shared" si="9"/>
        <v>Sat</v>
      </c>
      <c r="Q20" s="127" t="str">
        <f t="shared" si="9"/>
        <v>Sun</v>
      </c>
      <c r="R20" s="127" t="str">
        <f t="shared" si="9"/>
        <v>Mon</v>
      </c>
      <c r="S20" s="222" t="str">
        <f t="shared" si="9"/>
        <v>Tue</v>
      </c>
      <c r="T20" s="222" t="str">
        <f t="shared" si="9"/>
        <v>Wed</v>
      </c>
      <c r="U20" s="222" t="str">
        <f t="shared" si="9"/>
        <v>Thu</v>
      </c>
      <c r="V20" s="222" t="str">
        <f t="shared" si="9"/>
        <v>Fri</v>
      </c>
      <c r="W20" s="222" t="str">
        <f t="shared" ref="W20:X20" si="10">IF(W19="","",TEXT(WEEKDAY(W19), "ddd"))</f>
        <v>Sat</v>
      </c>
      <c r="X20" s="127" t="str">
        <f t="shared" si="10"/>
        <v>Sun</v>
      </c>
      <c r="Y20" s="222"/>
      <c r="Z20" s="270"/>
      <c r="AA20" s="270"/>
      <c r="AB20" s="209"/>
      <c r="AC20" s="114"/>
    </row>
    <row r="21" spans="1:35" ht="12.75" customHeight="1">
      <c r="A21" s="131" t="s">
        <v>40</v>
      </c>
      <c r="B21" s="132" t="s">
        <v>47</v>
      </c>
      <c r="C21" s="281" t="s">
        <v>55</v>
      </c>
      <c r="D21" s="133">
        <v>43437</v>
      </c>
      <c r="E21" s="134">
        <f t="shared" ref="E21:E26" si="11">F21</f>
        <v>80</v>
      </c>
      <c r="F21" s="134">
        <f t="shared" ref="F21:F26" si="12">AA21*8</f>
        <v>80</v>
      </c>
      <c r="G21" s="134">
        <f t="shared" ref="G21:G26" si="13">H21+I21</f>
        <v>80</v>
      </c>
      <c r="H21" s="134">
        <f t="shared" ref="H21:H26" si="14">SUM(J21:Y21)</f>
        <v>80</v>
      </c>
      <c r="I21" s="135">
        <v>0</v>
      </c>
      <c r="J21" s="245" t="s">
        <v>39</v>
      </c>
      <c r="K21" s="183">
        <v>8</v>
      </c>
      <c r="L21" s="180">
        <v>8</v>
      </c>
      <c r="M21" s="183">
        <v>8</v>
      </c>
      <c r="N21" s="140">
        <v>8</v>
      </c>
      <c r="O21" s="140">
        <v>8</v>
      </c>
      <c r="P21" s="245" t="s">
        <v>39</v>
      </c>
      <c r="Q21" s="245" t="s">
        <v>39</v>
      </c>
      <c r="R21" s="183">
        <v>8</v>
      </c>
      <c r="S21" s="207">
        <v>8</v>
      </c>
      <c r="T21" s="207">
        <v>8</v>
      </c>
      <c r="U21" s="140">
        <v>8</v>
      </c>
      <c r="V21" s="140">
        <v>8</v>
      </c>
      <c r="W21" s="245" t="s">
        <v>39</v>
      </c>
      <c r="X21" s="245" t="s">
        <v>39</v>
      </c>
      <c r="Y21" s="180"/>
      <c r="Z21" s="134"/>
      <c r="AA21" s="136">
        <v>10</v>
      </c>
      <c r="AB21" s="209"/>
      <c r="AC21" s="114"/>
    </row>
    <row r="22" spans="1:35" ht="12.75" customHeight="1">
      <c r="A22" s="131" t="s">
        <v>41</v>
      </c>
      <c r="B22" s="132" t="s">
        <v>47</v>
      </c>
      <c r="C22" s="281" t="s">
        <v>56</v>
      </c>
      <c r="D22" s="133">
        <v>45028</v>
      </c>
      <c r="E22" s="134">
        <f t="shared" si="11"/>
        <v>80</v>
      </c>
      <c r="F22" s="134">
        <f t="shared" si="12"/>
        <v>80</v>
      </c>
      <c r="G22" s="134">
        <f t="shared" si="13"/>
        <v>80</v>
      </c>
      <c r="H22" s="134">
        <f t="shared" si="14"/>
        <v>80</v>
      </c>
      <c r="I22" s="135">
        <v>0</v>
      </c>
      <c r="J22" s="245" t="s">
        <v>39</v>
      </c>
      <c r="K22" s="180">
        <v>8</v>
      </c>
      <c r="L22" s="180">
        <v>8</v>
      </c>
      <c r="M22" s="180">
        <v>8</v>
      </c>
      <c r="N22" s="140">
        <v>8</v>
      </c>
      <c r="O22" s="140">
        <v>8</v>
      </c>
      <c r="P22" s="245" t="s">
        <v>39</v>
      </c>
      <c r="Q22" s="245" t="s">
        <v>39</v>
      </c>
      <c r="R22" s="180">
        <v>8</v>
      </c>
      <c r="S22" s="207">
        <v>8</v>
      </c>
      <c r="T22" s="207">
        <v>8</v>
      </c>
      <c r="U22" s="140">
        <v>8</v>
      </c>
      <c r="V22" s="140">
        <v>8</v>
      </c>
      <c r="W22" s="245" t="s">
        <v>39</v>
      </c>
      <c r="X22" s="245" t="s">
        <v>39</v>
      </c>
      <c r="Y22" s="180"/>
      <c r="Z22" s="134"/>
      <c r="AA22" s="136">
        <v>10</v>
      </c>
      <c r="AB22" s="209"/>
      <c r="AC22" s="114"/>
    </row>
    <row r="23" spans="1:35" ht="12.75" customHeight="1">
      <c r="A23" s="131" t="s">
        <v>42</v>
      </c>
      <c r="B23" s="132" t="s">
        <v>47</v>
      </c>
      <c r="C23" s="281" t="s">
        <v>57</v>
      </c>
      <c r="D23" s="133">
        <v>43395</v>
      </c>
      <c r="E23" s="134">
        <f t="shared" si="11"/>
        <v>80</v>
      </c>
      <c r="F23" s="134">
        <f t="shared" si="12"/>
        <v>80</v>
      </c>
      <c r="G23" s="134">
        <f t="shared" si="13"/>
        <v>80</v>
      </c>
      <c r="H23" s="134">
        <f t="shared" si="14"/>
        <v>80</v>
      </c>
      <c r="I23" s="135">
        <v>0</v>
      </c>
      <c r="J23" s="245" t="s">
        <v>39</v>
      </c>
      <c r="K23" s="180">
        <v>8</v>
      </c>
      <c r="L23" s="180">
        <v>8</v>
      </c>
      <c r="M23" s="180">
        <v>8</v>
      </c>
      <c r="N23" s="140">
        <v>8</v>
      </c>
      <c r="O23" s="140">
        <v>8</v>
      </c>
      <c r="P23" s="245" t="s">
        <v>39</v>
      </c>
      <c r="Q23" s="245" t="s">
        <v>39</v>
      </c>
      <c r="R23" s="180">
        <v>8</v>
      </c>
      <c r="S23" s="207">
        <v>8</v>
      </c>
      <c r="T23" s="207">
        <v>8</v>
      </c>
      <c r="U23" s="140">
        <v>8</v>
      </c>
      <c r="V23" s="140">
        <v>8</v>
      </c>
      <c r="W23" s="245" t="s">
        <v>39</v>
      </c>
      <c r="X23" s="245" t="s">
        <v>39</v>
      </c>
      <c r="Y23" s="180"/>
      <c r="Z23" s="134"/>
      <c r="AA23" s="136">
        <v>10</v>
      </c>
      <c r="AB23" s="209"/>
      <c r="AC23" s="114"/>
    </row>
    <row r="24" spans="1:35" ht="12.75" customHeight="1">
      <c r="A24" s="131" t="s">
        <v>43</v>
      </c>
      <c r="B24" s="132" t="s">
        <v>47</v>
      </c>
      <c r="C24" s="281" t="s">
        <v>56</v>
      </c>
      <c r="D24" s="138">
        <v>43741</v>
      </c>
      <c r="E24" s="134">
        <f t="shared" si="11"/>
        <v>80</v>
      </c>
      <c r="F24" s="134">
        <f t="shared" si="12"/>
        <v>80</v>
      </c>
      <c r="G24" s="134">
        <f t="shared" si="13"/>
        <v>72</v>
      </c>
      <c r="H24" s="134">
        <f t="shared" si="14"/>
        <v>72</v>
      </c>
      <c r="I24" s="135">
        <v>0</v>
      </c>
      <c r="J24" s="245" t="s">
        <v>39</v>
      </c>
      <c r="K24" s="180">
        <v>8</v>
      </c>
      <c r="L24" s="180">
        <v>8</v>
      </c>
      <c r="M24" s="180">
        <v>8</v>
      </c>
      <c r="N24" s="140">
        <v>8</v>
      </c>
      <c r="O24" s="140">
        <v>8</v>
      </c>
      <c r="P24" s="245" t="s">
        <v>39</v>
      </c>
      <c r="Q24" s="245" t="s">
        <v>39</v>
      </c>
      <c r="R24" s="180">
        <v>8</v>
      </c>
      <c r="S24" s="207">
        <v>8</v>
      </c>
      <c r="T24" s="207">
        <v>8</v>
      </c>
      <c r="U24" s="140">
        <v>8</v>
      </c>
      <c r="V24" s="236"/>
      <c r="W24" s="245" t="s">
        <v>39</v>
      </c>
      <c r="X24" s="245" t="s">
        <v>39</v>
      </c>
      <c r="Y24" s="180"/>
      <c r="Z24" s="134">
        <v>1</v>
      </c>
      <c r="AA24" s="136">
        <v>10</v>
      </c>
      <c r="AB24" s="209"/>
      <c r="AC24" s="114"/>
    </row>
    <row r="25" spans="1:35" ht="12.75" customHeight="1">
      <c r="A25" s="139" t="s">
        <v>44</v>
      </c>
      <c r="B25" s="132" t="s">
        <v>47</v>
      </c>
      <c r="C25" s="281" t="s">
        <v>58</v>
      </c>
      <c r="D25" s="138">
        <v>43731</v>
      </c>
      <c r="E25" s="134">
        <f t="shared" si="11"/>
        <v>80</v>
      </c>
      <c r="F25" s="134">
        <f t="shared" si="12"/>
        <v>80</v>
      </c>
      <c r="G25" s="134">
        <f t="shared" si="13"/>
        <v>80</v>
      </c>
      <c r="H25" s="134">
        <f t="shared" si="14"/>
        <v>80</v>
      </c>
      <c r="I25" s="135">
        <v>0</v>
      </c>
      <c r="J25" s="245" t="s">
        <v>39</v>
      </c>
      <c r="K25" s="180">
        <v>8</v>
      </c>
      <c r="L25" s="180">
        <v>8</v>
      </c>
      <c r="M25" s="180">
        <v>8</v>
      </c>
      <c r="N25" s="140">
        <v>8</v>
      </c>
      <c r="O25" s="140">
        <v>8</v>
      </c>
      <c r="P25" s="245" t="s">
        <v>39</v>
      </c>
      <c r="Q25" s="245" t="s">
        <v>39</v>
      </c>
      <c r="R25" s="207">
        <v>8</v>
      </c>
      <c r="S25" s="207">
        <v>8</v>
      </c>
      <c r="T25" s="207">
        <v>8</v>
      </c>
      <c r="U25" s="140">
        <v>8</v>
      </c>
      <c r="V25" s="140">
        <v>8</v>
      </c>
      <c r="W25" s="245" t="s">
        <v>39</v>
      </c>
      <c r="X25" s="245" t="s">
        <v>39</v>
      </c>
      <c r="Y25" s="180"/>
      <c r="Z25" s="134"/>
      <c r="AA25" s="136">
        <v>10</v>
      </c>
      <c r="AB25" s="209"/>
      <c r="AC25" s="114"/>
    </row>
    <row r="26" spans="1:35" ht="12.75" customHeight="1">
      <c r="A26" s="139" t="s">
        <v>45</v>
      </c>
      <c r="B26" s="132" t="s">
        <v>47</v>
      </c>
      <c r="C26" s="281" t="s">
        <v>59</v>
      </c>
      <c r="D26" s="138">
        <v>45628</v>
      </c>
      <c r="E26" s="134">
        <f t="shared" si="11"/>
        <v>80</v>
      </c>
      <c r="F26" s="134">
        <f t="shared" si="12"/>
        <v>80</v>
      </c>
      <c r="G26" s="134">
        <f t="shared" si="13"/>
        <v>80</v>
      </c>
      <c r="H26" s="134">
        <f t="shared" si="14"/>
        <v>80</v>
      </c>
      <c r="I26" s="135">
        <v>0</v>
      </c>
      <c r="J26" s="245" t="s">
        <v>39</v>
      </c>
      <c r="K26" s="241">
        <v>8</v>
      </c>
      <c r="L26" s="241">
        <v>8</v>
      </c>
      <c r="M26" s="241">
        <v>8</v>
      </c>
      <c r="N26" s="140">
        <v>8</v>
      </c>
      <c r="O26" s="140">
        <v>8</v>
      </c>
      <c r="P26" s="245" t="s">
        <v>39</v>
      </c>
      <c r="Q26" s="245" t="s">
        <v>39</v>
      </c>
      <c r="R26" s="241">
        <v>8</v>
      </c>
      <c r="S26" s="207">
        <v>8</v>
      </c>
      <c r="T26" s="207">
        <v>8</v>
      </c>
      <c r="U26" s="140">
        <v>8</v>
      </c>
      <c r="V26" s="140">
        <v>8</v>
      </c>
      <c r="W26" s="245" t="s">
        <v>39</v>
      </c>
      <c r="X26" s="245" t="s">
        <v>39</v>
      </c>
      <c r="Y26" s="180"/>
      <c r="Z26" s="134"/>
      <c r="AA26" s="136">
        <v>10</v>
      </c>
      <c r="AB26" s="209"/>
      <c r="AC26" s="114"/>
    </row>
    <row r="27" spans="1:35" ht="12.75" hidden="1" customHeight="1">
      <c r="A27" s="140"/>
      <c r="B27" s="132" t="s">
        <v>47</v>
      </c>
      <c r="C27" s="140"/>
      <c r="D27" s="138">
        <v>45629</v>
      </c>
      <c r="E27" s="140"/>
      <c r="F27" s="140"/>
      <c r="G27" s="140"/>
      <c r="H27" s="140"/>
      <c r="I27" s="135">
        <v>0</v>
      </c>
      <c r="J27" s="245" t="s">
        <v>39</v>
      </c>
      <c r="K27" s="140"/>
      <c r="L27" s="140"/>
      <c r="M27" s="140"/>
      <c r="N27" s="140"/>
      <c r="O27" s="140"/>
      <c r="P27" s="245" t="s">
        <v>39</v>
      </c>
      <c r="Q27" s="245" t="s">
        <v>39</v>
      </c>
      <c r="R27" s="140"/>
      <c r="S27" s="140"/>
      <c r="T27" s="140"/>
      <c r="U27" s="140"/>
      <c r="V27" s="140"/>
      <c r="W27" s="245" t="s">
        <v>39</v>
      </c>
      <c r="X27" s="245" t="s">
        <v>39</v>
      </c>
      <c r="Y27" s="140"/>
      <c r="Z27" s="134"/>
      <c r="AA27" s="135"/>
      <c r="AB27" s="209"/>
      <c r="AC27" s="114"/>
    </row>
    <row r="28" spans="1:35" ht="12.75" hidden="1" customHeight="1">
      <c r="A28" s="140"/>
      <c r="B28" s="132" t="s">
        <v>47</v>
      </c>
      <c r="C28" s="140"/>
      <c r="D28" s="138">
        <v>45630</v>
      </c>
      <c r="E28" s="140"/>
      <c r="F28" s="140"/>
      <c r="G28" s="140"/>
      <c r="H28" s="140"/>
      <c r="I28" s="135">
        <v>0</v>
      </c>
      <c r="J28" s="245" t="s">
        <v>39</v>
      </c>
      <c r="K28" s="140"/>
      <c r="L28" s="140"/>
      <c r="M28" s="140"/>
      <c r="N28" s="140"/>
      <c r="O28" s="140"/>
      <c r="P28" s="245" t="s">
        <v>39</v>
      </c>
      <c r="Q28" s="245" t="s">
        <v>39</v>
      </c>
      <c r="R28" s="140"/>
      <c r="S28" s="140"/>
      <c r="T28" s="140"/>
      <c r="U28" s="140"/>
      <c r="V28" s="140"/>
      <c r="W28" s="245" t="s">
        <v>39</v>
      </c>
      <c r="X28" s="245" t="s">
        <v>39</v>
      </c>
      <c r="Y28" s="140"/>
      <c r="Z28" s="134"/>
      <c r="AA28" s="135"/>
      <c r="AB28" s="209"/>
      <c r="AC28" s="114"/>
    </row>
    <row r="29" spans="1:35" ht="12.75" hidden="1" customHeight="1">
      <c r="A29" s="140"/>
      <c r="B29" s="132" t="s">
        <v>47</v>
      </c>
      <c r="C29" s="140"/>
      <c r="D29" s="138">
        <v>45631</v>
      </c>
      <c r="E29" s="140"/>
      <c r="F29" s="140"/>
      <c r="G29" s="140"/>
      <c r="H29" s="140"/>
      <c r="I29" s="135">
        <v>0</v>
      </c>
      <c r="J29" s="245" t="s">
        <v>39</v>
      </c>
      <c r="K29" s="140"/>
      <c r="L29" s="140"/>
      <c r="M29" s="140"/>
      <c r="N29" s="140"/>
      <c r="O29" s="140"/>
      <c r="P29" s="245" t="s">
        <v>39</v>
      </c>
      <c r="Q29" s="245" t="s">
        <v>39</v>
      </c>
      <c r="R29" s="140"/>
      <c r="S29" s="140"/>
      <c r="T29" s="140"/>
      <c r="U29" s="140"/>
      <c r="V29" s="140"/>
      <c r="W29" s="245" t="s">
        <v>39</v>
      </c>
      <c r="X29" s="245" t="s">
        <v>39</v>
      </c>
      <c r="Y29" s="140"/>
      <c r="Z29" s="134"/>
      <c r="AA29" s="135"/>
      <c r="AB29" s="209"/>
      <c r="AC29" s="114"/>
    </row>
    <row r="30" spans="1:35" ht="12.75" hidden="1" customHeight="1">
      <c r="A30" s="140"/>
      <c r="B30" s="132" t="s">
        <v>47</v>
      </c>
      <c r="C30" s="140"/>
      <c r="D30" s="138">
        <v>45632</v>
      </c>
      <c r="E30" s="140"/>
      <c r="F30" s="140"/>
      <c r="G30" s="140"/>
      <c r="H30" s="140"/>
      <c r="I30" s="135">
        <v>0</v>
      </c>
      <c r="J30" s="245" t="s">
        <v>39</v>
      </c>
      <c r="K30" s="140"/>
      <c r="L30" s="140"/>
      <c r="M30" s="140"/>
      <c r="N30" s="140"/>
      <c r="O30" s="140"/>
      <c r="P30" s="245" t="s">
        <v>39</v>
      </c>
      <c r="Q30" s="245" t="s">
        <v>39</v>
      </c>
      <c r="R30" s="140"/>
      <c r="S30" s="140"/>
      <c r="T30" s="140"/>
      <c r="U30" s="140"/>
      <c r="V30" s="140"/>
      <c r="W30" s="245" t="s">
        <v>39</v>
      </c>
      <c r="X30" s="245" t="s">
        <v>39</v>
      </c>
      <c r="Y30" s="140"/>
      <c r="Z30" s="134"/>
      <c r="AA30" s="135"/>
      <c r="AB30" s="209"/>
      <c r="AC30" s="114"/>
    </row>
    <row r="31" spans="1:35" ht="12.75" customHeight="1">
      <c r="A31" s="139" t="s">
        <v>46</v>
      </c>
      <c r="B31" s="132" t="s">
        <v>47</v>
      </c>
      <c r="C31" s="282" t="s">
        <v>57</v>
      </c>
      <c r="D31" s="138">
        <v>45633</v>
      </c>
      <c r="E31" s="251">
        <v>80</v>
      </c>
      <c r="F31" s="251">
        <v>80</v>
      </c>
      <c r="G31" s="251">
        <v>72</v>
      </c>
      <c r="H31" s="251">
        <v>72</v>
      </c>
      <c r="I31" s="252">
        <v>0</v>
      </c>
      <c r="J31" s="245" t="s">
        <v>39</v>
      </c>
      <c r="K31" s="140">
        <v>8</v>
      </c>
      <c r="L31" s="140">
        <v>8</v>
      </c>
      <c r="M31" s="140">
        <v>8</v>
      </c>
      <c r="N31" s="140">
        <v>8</v>
      </c>
      <c r="O31" s="140">
        <v>8</v>
      </c>
      <c r="P31" s="245" t="s">
        <v>39</v>
      </c>
      <c r="Q31" s="245" t="s">
        <v>39</v>
      </c>
      <c r="R31" s="140">
        <v>8</v>
      </c>
      <c r="S31" s="140">
        <v>8</v>
      </c>
      <c r="T31" s="140">
        <v>8</v>
      </c>
      <c r="U31" s="140">
        <v>8</v>
      </c>
      <c r="V31" s="236"/>
      <c r="W31" s="245" t="s">
        <v>39</v>
      </c>
      <c r="X31" s="245" t="s">
        <v>39</v>
      </c>
      <c r="Y31" s="140"/>
      <c r="Z31" s="134">
        <v>1</v>
      </c>
      <c r="AA31" s="135">
        <v>10</v>
      </c>
      <c r="AB31" s="209"/>
      <c r="AC31" s="114"/>
    </row>
    <row r="32" spans="1:35" ht="12.75" customHeight="1">
      <c r="A32" s="228"/>
      <c r="B32" s="228"/>
      <c r="C32" s="223"/>
      <c r="D32" s="229"/>
      <c r="E32" s="224">
        <f t="shared" ref="E32:V32" si="15">SUM(E21:E30)</f>
        <v>480</v>
      </c>
      <c r="F32" s="224">
        <f t="shared" si="15"/>
        <v>480</v>
      </c>
      <c r="G32" s="224">
        <f t="shared" si="15"/>
        <v>472</v>
      </c>
      <c r="H32" s="224">
        <f t="shared" si="15"/>
        <v>472</v>
      </c>
      <c r="I32" s="224">
        <f t="shared" si="15"/>
        <v>0</v>
      </c>
      <c r="J32" s="224">
        <f t="shared" si="15"/>
        <v>0</v>
      </c>
      <c r="K32" s="224">
        <f t="shared" si="15"/>
        <v>48</v>
      </c>
      <c r="L32" s="224">
        <f t="shared" si="15"/>
        <v>48</v>
      </c>
      <c r="M32" s="224">
        <f t="shared" si="15"/>
        <v>48</v>
      </c>
      <c r="N32" s="224">
        <f t="shared" si="15"/>
        <v>48</v>
      </c>
      <c r="O32" s="224">
        <f t="shared" si="15"/>
        <v>48</v>
      </c>
      <c r="P32" s="224">
        <f t="shared" si="15"/>
        <v>0</v>
      </c>
      <c r="Q32" s="224">
        <f t="shared" si="15"/>
        <v>0</v>
      </c>
      <c r="R32" s="224">
        <f t="shared" si="15"/>
        <v>48</v>
      </c>
      <c r="S32" s="224">
        <f t="shared" si="15"/>
        <v>48</v>
      </c>
      <c r="T32" s="224">
        <f t="shared" si="15"/>
        <v>48</v>
      </c>
      <c r="U32" s="224">
        <f t="shared" si="15"/>
        <v>48</v>
      </c>
      <c r="V32" s="224">
        <f t="shared" si="15"/>
        <v>40</v>
      </c>
      <c r="W32" s="224"/>
      <c r="X32" s="224"/>
      <c r="Y32" s="224"/>
      <c r="Z32" s="224"/>
      <c r="AA32" s="224"/>
      <c r="AB32" s="210"/>
      <c r="AC32" s="114"/>
    </row>
    <row r="33" spans="1:29" ht="12.75" customHeight="1">
      <c r="A33" s="230"/>
      <c r="B33" s="230"/>
      <c r="C33" s="231"/>
      <c r="D33" s="232"/>
      <c r="E33" s="233"/>
      <c r="F33" s="233"/>
      <c r="G33" s="233"/>
      <c r="H33" s="227"/>
      <c r="I33" s="234"/>
      <c r="J33" s="234"/>
      <c r="K33" s="234"/>
      <c r="L33" s="234"/>
      <c r="M33" s="234"/>
      <c r="N33" s="234"/>
      <c r="O33" s="210"/>
      <c r="P33" s="210"/>
      <c r="Q33" s="234"/>
      <c r="R33" s="234"/>
      <c r="S33" s="234"/>
      <c r="T33" s="234"/>
      <c r="U33" s="234"/>
      <c r="V33" s="234"/>
      <c r="W33" s="234"/>
      <c r="X33" s="234"/>
      <c r="Y33" s="210"/>
      <c r="Z33" s="210"/>
      <c r="AA33" s="114"/>
      <c r="AB33" s="114"/>
      <c r="AC33" s="114"/>
    </row>
    <row r="34" spans="1:29" ht="12.75" customHeight="1" thickBot="1">
      <c r="A34" s="209"/>
      <c r="B34" s="209"/>
      <c r="C34" s="209"/>
      <c r="D34" s="209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48"/>
      <c r="AB34" s="120"/>
      <c r="AC34" s="114"/>
    </row>
    <row r="35" spans="1:29" ht="57.75" customHeight="1">
      <c r="A35" s="149" t="s">
        <v>1</v>
      </c>
      <c r="B35" s="150" t="s">
        <v>23</v>
      </c>
      <c r="C35" s="150" t="s">
        <v>24</v>
      </c>
      <c r="D35" s="246" t="s">
        <v>25</v>
      </c>
      <c r="E35" s="246" t="s">
        <v>38</v>
      </c>
      <c r="F35" s="120"/>
      <c r="G35" s="120"/>
      <c r="H35" s="120"/>
      <c r="I35" s="120"/>
      <c r="J35" s="120"/>
      <c r="K35" s="118"/>
      <c r="L35" s="118"/>
      <c r="M35" s="118"/>
      <c r="N35" s="118"/>
      <c r="O35" s="118"/>
      <c r="P35" s="118"/>
      <c r="Q35" s="120"/>
      <c r="R35" s="120"/>
      <c r="S35" s="120"/>
      <c r="T35" s="120"/>
      <c r="U35" s="120"/>
      <c r="V35" s="120"/>
      <c r="W35" s="120"/>
      <c r="X35" s="120"/>
      <c r="Y35" s="120"/>
      <c r="Z35" s="148"/>
      <c r="AA35" s="120"/>
      <c r="AB35" s="114"/>
    </row>
    <row r="36" spans="1:29" ht="13.5" customHeight="1">
      <c r="A36" s="131" t="s">
        <v>40</v>
      </c>
      <c r="B36" s="153">
        <f>G5+G21</f>
        <v>160</v>
      </c>
      <c r="C36" s="154">
        <f>F5+F21</f>
        <v>160</v>
      </c>
      <c r="D36" s="247">
        <f t="shared" ref="D36:D46" si="16">B36</f>
        <v>160</v>
      </c>
      <c r="E36" s="250">
        <v>29</v>
      </c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</row>
    <row r="37" spans="1:29" ht="13.5" customHeight="1">
      <c r="A37" s="131" t="s">
        <v>41</v>
      </c>
      <c r="B37" s="153">
        <f>G6+G22</f>
        <v>160</v>
      </c>
      <c r="C37" s="154">
        <f>F6+F22</f>
        <v>160</v>
      </c>
      <c r="D37" s="247">
        <f t="shared" si="16"/>
        <v>160</v>
      </c>
      <c r="E37" s="250">
        <v>32</v>
      </c>
      <c r="F37" s="114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48"/>
      <c r="AA37" s="120"/>
      <c r="AB37" s="114"/>
    </row>
    <row r="38" spans="1:29" ht="13.5" customHeight="1">
      <c r="A38" s="131" t="s">
        <v>42</v>
      </c>
      <c r="B38" s="153">
        <f>G7+G23</f>
        <v>152</v>
      </c>
      <c r="C38" s="154">
        <f>F7+F23</f>
        <v>160</v>
      </c>
      <c r="D38" s="247">
        <f t="shared" si="16"/>
        <v>152</v>
      </c>
      <c r="E38" s="250">
        <v>36</v>
      </c>
      <c r="F38" s="114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48"/>
      <c r="AA38" s="120"/>
      <c r="AB38" s="114"/>
    </row>
    <row r="39" spans="1:29" ht="13.5" customHeight="1">
      <c r="A39" s="131" t="s">
        <v>43</v>
      </c>
      <c r="B39" s="153">
        <f>G8+G24</f>
        <v>152</v>
      </c>
      <c r="C39" s="154">
        <f>F8+F24</f>
        <v>160</v>
      </c>
      <c r="D39" s="247">
        <f t="shared" si="16"/>
        <v>152</v>
      </c>
      <c r="E39" s="250">
        <v>23</v>
      </c>
      <c r="F39" s="114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48"/>
      <c r="AA39" s="120"/>
      <c r="AB39" s="114"/>
    </row>
    <row r="40" spans="1:29" ht="13.5" customHeight="1">
      <c r="A40" s="139" t="s">
        <v>44</v>
      </c>
      <c r="B40" s="216">
        <f>G9+G25</f>
        <v>160</v>
      </c>
      <c r="C40" s="217">
        <f>F9+F25</f>
        <v>160</v>
      </c>
      <c r="D40" s="248">
        <f t="shared" si="16"/>
        <v>160</v>
      </c>
      <c r="E40" s="250">
        <v>28</v>
      </c>
      <c r="F40" s="114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48"/>
      <c r="AA40" s="120"/>
      <c r="AB40" s="114"/>
    </row>
    <row r="41" spans="1:29" ht="13.5" customHeight="1" thickBot="1">
      <c r="A41" s="139" t="s">
        <v>45</v>
      </c>
      <c r="B41" s="158">
        <f>H10+H26</f>
        <v>160</v>
      </c>
      <c r="C41" s="159">
        <f>F10+F26</f>
        <v>160</v>
      </c>
      <c r="D41" s="249">
        <f t="shared" si="16"/>
        <v>160</v>
      </c>
      <c r="E41" s="250">
        <v>27</v>
      </c>
      <c r="F41" s="114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48"/>
      <c r="AA41" s="120"/>
      <c r="AB41" s="114"/>
    </row>
    <row r="42" spans="1:29" ht="13.5" hidden="1" customHeight="1" thickBot="1">
      <c r="A42" s="140"/>
      <c r="B42" s="158">
        <f>H11+H27</f>
        <v>0</v>
      </c>
      <c r="C42" s="159">
        <f>F11+F27</f>
        <v>0</v>
      </c>
      <c r="D42" s="249">
        <f t="shared" si="16"/>
        <v>0</v>
      </c>
      <c r="E42" s="250">
        <v>27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40"/>
      <c r="B43" s="158">
        <f>H12+H28</f>
        <v>0</v>
      </c>
      <c r="C43" s="159">
        <f>F12+F28</f>
        <v>0</v>
      </c>
      <c r="D43" s="249">
        <f t="shared" si="16"/>
        <v>0</v>
      </c>
      <c r="E43" s="250">
        <v>27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3.5" hidden="1" customHeight="1">
      <c r="A44" s="140"/>
      <c r="B44" s="158">
        <f>H13+H29</f>
        <v>0</v>
      </c>
      <c r="C44" s="159">
        <f>F13+F29</f>
        <v>0</v>
      </c>
      <c r="D44" s="249">
        <f t="shared" si="16"/>
        <v>0</v>
      </c>
      <c r="E44" s="250">
        <v>27</v>
      </c>
      <c r="F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3.5" hidden="1" customHeight="1">
      <c r="A45" s="140"/>
      <c r="B45" s="158">
        <f>H14+H30</f>
        <v>0</v>
      </c>
      <c r="C45" s="159">
        <f>F14+F30</f>
        <v>0</v>
      </c>
      <c r="D45" s="249">
        <f t="shared" si="16"/>
        <v>0</v>
      </c>
      <c r="E45" s="250">
        <v>27</v>
      </c>
      <c r="F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2.75" customHeight="1" thickBot="1">
      <c r="A46" s="139" t="s">
        <v>46</v>
      </c>
      <c r="B46" s="158">
        <f>H15+H31</f>
        <v>152</v>
      </c>
      <c r="C46" s="159">
        <f>F15+F31</f>
        <v>160</v>
      </c>
      <c r="D46" s="249">
        <f t="shared" si="16"/>
        <v>152</v>
      </c>
      <c r="E46" s="250">
        <v>29</v>
      </c>
      <c r="F46" s="163"/>
      <c r="G46" s="163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 thickBot="1">
      <c r="A47" s="209"/>
      <c r="B47" s="209"/>
      <c r="C47" s="209"/>
      <c r="D47" s="120"/>
      <c r="E47" s="163"/>
      <c r="F47" s="163"/>
      <c r="G47" s="163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4.25" customHeight="1">
      <c r="A48" s="263" t="s">
        <v>0</v>
      </c>
      <c r="B48" s="264"/>
      <c r="C48" s="265"/>
      <c r="D48" s="209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64" t="s">
        <v>26</v>
      </c>
      <c r="B49" s="165" t="s">
        <v>27</v>
      </c>
      <c r="C49" s="166" t="s">
        <v>28</v>
      </c>
      <c r="D49" s="209"/>
      <c r="E49" s="120"/>
      <c r="F49" s="120"/>
      <c r="G49" s="114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67" t="s">
        <v>29</v>
      </c>
      <c r="B50" s="168">
        <v>10</v>
      </c>
      <c r="C50" s="171">
        <f>B50*8</f>
        <v>80</v>
      </c>
      <c r="D50" s="209"/>
      <c r="E50" s="120"/>
      <c r="F50" s="120"/>
      <c r="G50" s="120"/>
      <c r="H50" s="114"/>
      <c r="I50" s="169"/>
      <c r="J50" s="169"/>
      <c r="K50" s="169"/>
      <c r="L50" s="169"/>
      <c r="M50" s="169"/>
      <c r="N50" s="169"/>
      <c r="O50" s="169"/>
      <c r="P50" s="114"/>
      <c r="Q50" s="114"/>
      <c r="R50" s="114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56" t="s">
        <v>30</v>
      </c>
      <c r="B51" s="170">
        <v>0</v>
      </c>
      <c r="C51" s="171">
        <f>B51*8</f>
        <v>0</v>
      </c>
      <c r="D51" s="209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 thickBot="1">
      <c r="A52" s="157" t="s">
        <v>31</v>
      </c>
      <c r="B52" s="172">
        <f t="shared" ref="B52:C52" si="17">B50-B51</f>
        <v>10</v>
      </c>
      <c r="C52" s="173">
        <f t="shared" si="17"/>
        <v>80</v>
      </c>
      <c r="D52" s="209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2.75" customHeight="1">
      <c r="A53" s="209"/>
      <c r="B53" s="209"/>
      <c r="C53" s="209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 thickBot="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4.25" customHeight="1">
      <c r="A55" s="263" t="s">
        <v>22</v>
      </c>
      <c r="B55" s="264"/>
      <c r="C55" s="265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64" t="s">
        <v>26</v>
      </c>
      <c r="B56" s="165" t="s">
        <v>27</v>
      </c>
      <c r="C56" s="166" t="s">
        <v>28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4" t="s">
        <v>29</v>
      </c>
      <c r="B57" s="168">
        <v>12</v>
      </c>
      <c r="C57" s="171">
        <f t="shared" ref="C57:C58" si="18">B57*8</f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74" t="s">
        <v>30</v>
      </c>
      <c r="B58" s="175">
        <v>0</v>
      </c>
      <c r="C58" s="171">
        <f t="shared" si="18"/>
        <v>0</v>
      </c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 thickBot="1">
      <c r="A59" s="176" t="s">
        <v>31</v>
      </c>
      <c r="B59" s="172">
        <f t="shared" ref="B59:C59" si="19">B57-B58</f>
        <v>12</v>
      </c>
      <c r="C59" s="173">
        <f t="shared" si="19"/>
        <v>96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 thickBo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 thickBot="1">
      <c r="A61" s="120"/>
      <c r="B61" s="177" t="s">
        <v>32</v>
      </c>
      <c r="C61" s="178">
        <f>C52+C59</f>
        <v>176</v>
      </c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79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79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48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48"/>
      <c r="AB79" s="120"/>
      <c r="AC79" s="114"/>
    </row>
    <row r="80" spans="1:29" ht="12.75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20"/>
      <c r="AC80" s="114"/>
    </row>
    <row r="81" spans="1:29" ht="12.7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14"/>
      <c r="AB81" s="114"/>
      <c r="AC81" s="114"/>
    </row>
    <row r="82" spans="1:29" ht="12.75" customHeight="1">
      <c r="A82" s="114"/>
      <c r="B82" s="114"/>
      <c r="C82" s="114"/>
      <c r="D82" s="114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14"/>
      <c r="AB82" s="114"/>
      <c r="AC82" s="114"/>
    </row>
    <row r="83" spans="1:29" ht="12.75" customHeight="1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</row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</sheetData>
  <mergeCells count="18">
    <mergeCell ref="C3:C4"/>
    <mergeCell ref="C19:C20"/>
    <mergeCell ref="AA19:AA20"/>
    <mergeCell ref="A48:C48"/>
    <mergeCell ref="A55:C55"/>
    <mergeCell ref="Z3:Z4"/>
    <mergeCell ref="A19:A20"/>
    <mergeCell ref="B19:B20"/>
    <mergeCell ref="D19:D20"/>
    <mergeCell ref="E19:E20"/>
    <mergeCell ref="F19:I19"/>
    <mergeCell ref="Z19:Z20"/>
    <mergeCell ref="A3:A4"/>
    <mergeCell ref="B3:B4"/>
    <mergeCell ref="D3:D4"/>
    <mergeCell ref="E3:E4"/>
    <mergeCell ref="F3:I3"/>
    <mergeCell ref="Y3:Y4"/>
  </mergeCells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96ED9-921D-46BC-86F3-041B00D870F8}">
  <dimension ref="A1:AI997"/>
  <sheetViews>
    <sheetView workbookViewId="0">
      <selection activeCell="C3" sqref="C3:C15"/>
    </sheetView>
  </sheetViews>
  <sheetFormatPr defaultColWidth="12.453125" defaultRowHeight="13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45992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69" t="s">
        <v>1</v>
      </c>
      <c r="B3" s="269" t="s">
        <v>2</v>
      </c>
      <c r="C3" s="280" t="s">
        <v>54</v>
      </c>
      <c r="D3" s="269" t="s">
        <v>3</v>
      </c>
      <c r="E3" s="269" t="s">
        <v>4</v>
      </c>
      <c r="F3" s="271" t="s">
        <v>5</v>
      </c>
      <c r="G3" s="270"/>
      <c r="H3" s="270"/>
      <c r="I3" s="270"/>
      <c r="J3" s="141">
        <f>C1</f>
        <v>45992</v>
      </c>
      <c r="K3" s="141">
        <f t="shared" ref="K3:X3" si="0">J3+1</f>
        <v>45993</v>
      </c>
      <c r="L3" s="141">
        <f t="shared" si="0"/>
        <v>45994</v>
      </c>
      <c r="M3" s="141">
        <f t="shared" si="0"/>
        <v>45995</v>
      </c>
      <c r="N3" s="141">
        <f t="shared" si="0"/>
        <v>45996</v>
      </c>
      <c r="O3" s="141">
        <f t="shared" si="0"/>
        <v>45997</v>
      </c>
      <c r="P3" s="141">
        <f t="shared" si="0"/>
        <v>45998</v>
      </c>
      <c r="Q3" s="141">
        <f t="shared" si="0"/>
        <v>45999</v>
      </c>
      <c r="R3" s="141">
        <f t="shared" si="0"/>
        <v>46000</v>
      </c>
      <c r="S3" s="141">
        <f t="shared" si="0"/>
        <v>46001</v>
      </c>
      <c r="T3" s="141">
        <f t="shared" si="0"/>
        <v>46002</v>
      </c>
      <c r="U3" s="141">
        <f t="shared" si="0"/>
        <v>46003</v>
      </c>
      <c r="V3" s="141">
        <f t="shared" si="0"/>
        <v>46004</v>
      </c>
      <c r="W3" s="141">
        <f t="shared" si="0"/>
        <v>46005</v>
      </c>
      <c r="X3" s="141">
        <f t="shared" si="0"/>
        <v>46006</v>
      </c>
      <c r="Y3" s="269" t="s">
        <v>6</v>
      </c>
      <c r="Z3" s="269" t="s">
        <v>7</v>
      </c>
      <c r="AA3" s="209"/>
      <c r="AB3" s="210"/>
      <c r="AC3" s="114"/>
    </row>
    <row r="4" spans="1:35" ht="27" customHeight="1" thickBot="1">
      <c r="A4" s="270"/>
      <c r="B4" s="270"/>
      <c r="C4" s="270"/>
      <c r="D4" s="270"/>
      <c r="E4" s="270"/>
      <c r="F4" s="219" t="s">
        <v>8</v>
      </c>
      <c r="G4" s="220" t="s">
        <v>9</v>
      </c>
      <c r="H4" s="165" t="s">
        <v>10</v>
      </c>
      <c r="I4" s="165" t="s">
        <v>11</v>
      </c>
      <c r="J4" s="221" t="str">
        <f t="shared" ref="J4:X4" si="1">IF(J3="","",TEXT(WEEKDAY(J3), "ddd"))</f>
        <v>Mon</v>
      </c>
      <c r="K4" s="127" t="str">
        <f t="shared" si="1"/>
        <v>Tue</v>
      </c>
      <c r="L4" s="127" t="str">
        <f t="shared" si="1"/>
        <v>Wed</v>
      </c>
      <c r="M4" s="222" t="str">
        <f t="shared" si="1"/>
        <v>Thu</v>
      </c>
      <c r="N4" s="222" t="str">
        <f t="shared" si="1"/>
        <v>Fri</v>
      </c>
      <c r="O4" s="221" t="str">
        <f t="shared" si="1"/>
        <v>Sat</v>
      </c>
      <c r="P4" s="221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22" t="str">
        <f t="shared" si="1"/>
        <v>Mon</v>
      </c>
      <c r="Y4" s="270"/>
      <c r="Z4" s="270"/>
      <c r="AA4" s="209"/>
      <c r="AB4" s="240" t="s">
        <v>12</v>
      </c>
      <c r="AC4" s="238"/>
      <c r="AD4" s="130"/>
      <c r="AE4" s="130"/>
      <c r="AF4" s="130"/>
      <c r="AG4" s="130"/>
      <c r="AH4" s="130"/>
    </row>
    <row r="5" spans="1:35" ht="12.75" customHeight="1">
      <c r="A5" s="131" t="s">
        <v>40</v>
      </c>
      <c r="B5" s="132" t="s">
        <v>47</v>
      </c>
      <c r="C5" s="281" t="s">
        <v>55</v>
      </c>
      <c r="D5" s="133">
        <v>43437</v>
      </c>
      <c r="E5" s="134">
        <v>88</v>
      </c>
      <c r="F5" s="134">
        <v>88</v>
      </c>
      <c r="G5" s="134">
        <f t="shared" ref="G5:G10" si="2">H5+I5</f>
        <v>72</v>
      </c>
      <c r="H5" s="134">
        <f t="shared" ref="H5:H10" si="3">SUM(J5:X5)</f>
        <v>72</v>
      </c>
      <c r="I5" s="135">
        <v>0</v>
      </c>
      <c r="J5" s="236"/>
      <c r="K5" s="183">
        <v>8</v>
      </c>
      <c r="L5" s="183">
        <v>8</v>
      </c>
      <c r="M5" s="183">
        <v>8</v>
      </c>
      <c r="N5" s="183">
        <v>8</v>
      </c>
      <c r="O5" s="245" t="s">
        <v>39</v>
      </c>
      <c r="P5" s="245" t="s">
        <v>39</v>
      </c>
      <c r="Q5" s="236"/>
      <c r="R5" s="183">
        <v>8</v>
      </c>
      <c r="S5" s="207">
        <v>8</v>
      </c>
      <c r="T5" s="183">
        <v>8</v>
      </c>
      <c r="U5" s="207">
        <v>8</v>
      </c>
      <c r="V5" s="245" t="s">
        <v>39</v>
      </c>
      <c r="W5" s="245" t="s">
        <v>39</v>
      </c>
      <c r="X5" s="140">
        <v>8</v>
      </c>
      <c r="Y5" s="134">
        <v>2</v>
      </c>
      <c r="Z5" s="136">
        <v>11</v>
      </c>
      <c r="AA5" s="209"/>
      <c r="AB5" s="239" t="s">
        <v>15</v>
      </c>
      <c r="AC5" s="130"/>
      <c r="AD5" s="130"/>
      <c r="AE5" s="130"/>
      <c r="AF5" s="130"/>
      <c r="AG5" s="130"/>
      <c r="AH5" s="130"/>
    </row>
    <row r="6" spans="1:35" ht="12.75" customHeight="1">
      <c r="A6" s="131" t="s">
        <v>41</v>
      </c>
      <c r="B6" s="132" t="s">
        <v>47</v>
      </c>
      <c r="C6" s="281" t="s">
        <v>56</v>
      </c>
      <c r="D6" s="133">
        <v>45028</v>
      </c>
      <c r="E6" s="134">
        <v>88</v>
      </c>
      <c r="F6" s="134">
        <v>88</v>
      </c>
      <c r="G6" s="134">
        <f t="shared" si="2"/>
        <v>88</v>
      </c>
      <c r="H6" s="134">
        <f t="shared" si="3"/>
        <v>88</v>
      </c>
      <c r="I6" s="135">
        <v>0</v>
      </c>
      <c r="J6" s="140">
        <v>8</v>
      </c>
      <c r="K6" s="183">
        <v>8</v>
      </c>
      <c r="L6" s="183">
        <v>8</v>
      </c>
      <c r="M6" s="183">
        <v>8</v>
      </c>
      <c r="N6" s="183">
        <v>8</v>
      </c>
      <c r="O6" s="245" t="s">
        <v>39</v>
      </c>
      <c r="P6" s="245" t="s">
        <v>39</v>
      </c>
      <c r="Q6" s="140">
        <v>8</v>
      </c>
      <c r="R6" s="183">
        <v>8</v>
      </c>
      <c r="S6" s="183">
        <v>8</v>
      </c>
      <c r="T6" s="183">
        <v>8</v>
      </c>
      <c r="U6" s="183">
        <v>8</v>
      </c>
      <c r="V6" s="245" t="s">
        <v>39</v>
      </c>
      <c r="W6" s="245" t="s">
        <v>39</v>
      </c>
      <c r="X6" s="140">
        <v>8</v>
      </c>
      <c r="Y6" s="134"/>
      <c r="Z6" s="136">
        <v>11</v>
      </c>
      <c r="AA6" s="209"/>
      <c r="AB6" s="237" t="s">
        <v>6</v>
      </c>
      <c r="AC6" s="130"/>
      <c r="AD6" s="130"/>
      <c r="AE6" s="130"/>
      <c r="AF6" s="130"/>
      <c r="AG6" s="130"/>
      <c r="AH6" s="130"/>
    </row>
    <row r="7" spans="1:35" ht="12.75" customHeight="1">
      <c r="A7" s="131" t="s">
        <v>42</v>
      </c>
      <c r="B7" s="132" t="s">
        <v>47</v>
      </c>
      <c r="C7" s="281" t="s">
        <v>57</v>
      </c>
      <c r="D7" s="133">
        <v>43395</v>
      </c>
      <c r="E7" s="134">
        <v>88</v>
      </c>
      <c r="F7" s="134">
        <v>88</v>
      </c>
      <c r="G7" s="134">
        <f>H7+I7</f>
        <v>80</v>
      </c>
      <c r="H7" s="134">
        <f t="shared" si="3"/>
        <v>80</v>
      </c>
      <c r="I7" s="135">
        <v>0</v>
      </c>
      <c r="J7" s="140">
        <v>8</v>
      </c>
      <c r="K7" s="183">
        <v>8</v>
      </c>
      <c r="L7" s="183">
        <v>8</v>
      </c>
      <c r="M7" s="183">
        <v>8</v>
      </c>
      <c r="N7" s="183">
        <v>8</v>
      </c>
      <c r="O7" s="245" t="s">
        <v>39</v>
      </c>
      <c r="P7" s="245" t="s">
        <v>39</v>
      </c>
      <c r="Q7" s="140">
        <v>8</v>
      </c>
      <c r="R7" s="183">
        <v>8</v>
      </c>
      <c r="S7" s="183">
        <v>8</v>
      </c>
      <c r="T7" s="183">
        <v>8</v>
      </c>
      <c r="U7" s="236"/>
      <c r="V7" s="245" t="s">
        <v>39</v>
      </c>
      <c r="W7" s="245" t="s">
        <v>39</v>
      </c>
      <c r="X7" s="140">
        <v>8</v>
      </c>
      <c r="Y7" s="134">
        <v>1</v>
      </c>
      <c r="Z7" s="136">
        <v>11</v>
      </c>
      <c r="AA7" s="209"/>
      <c r="AB7" s="202" t="s">
        <v>18</v>
      </c>
      <c r="AC7" s="130"/>
      <c r="AD7" s="130"/>
      <c r="AE7" s="130"/>
      <c r="AF7" s="130"/>
      <c r="AG7" s="130"/>
      <c r="AH7" s="130"/>
    </row>
    <row r="8" spans="1:35" ht="12.75" customHeight="1">
      <c r="A8" s="131" t="s">
        <v>43</v>
      </c>
      <c r="B8" s="132" t="s">
        <v>47</v>
      </c>
      <c r="C8" s="281" t="s">
        <v>56</v>
      </c>
      <c r="D8" s="138">
        <v>43741</v>
      </c>
      <c r="E8" s="134">
        <v>88</v>
      </c>
      <c r="F8" s="134">
        <v>88</v>
      </c>
      <c r="G8" s="134">
        <f t="shared" si="2"/>
        <v>88</v>
      </c>
      <c r="H8" s="134">
        <f t="shared" si="3"/>
        <v>88</v>
      </c>
      <c r="I8" s="135">
        <v>0</v>
      </c>
      <c r="J8" s="140">
        <v>8</v>
      </c>
      <c r="K8" s="183">
        <v>8</v>
      </c>
      <c r="L8" s="243">
        <v>8</v>
      </c>
      <c r="M8" s="183">
        <v>8</v>
      </c>
      <c r="N8" s="243">
        <v>8</v>
      </c>
      <c r="O8" s="245" t="s">
        <v>39</v>
      </c>
      <c r="P8" s="245" t="s">
        <v>39</v>
      </c>
      <c r="Q8" s="140">
        <v>8</v>
      </c>
      <c r="R8" s="183">
        <v>8</v>
      </c>
      <c r="S8" s="183">
        <v>8</v>
      </c>
      <c r="T8" s="183">
        <v>8</v>
      </c>
      <c r="U8" s="183">
        <v>8</v>
      </c>
      <c r="V8" s="245" t="s">
        <v>39</v>
      </c>
      <c r="W8" s="245" t="s">
        <v>39</v>
      </c>
      <c r="X8" s="140">
        <v>8</v>
      </c>
      <c r="Y8" s="134"/>
      <c r="Z8" s="136">
        <v>11</v>
      </c>
      <c r="AA8" s="209"/>
      <c r="AB8" s="114"/>
      <c r="AC8" s="130"/>
      <c r="AD8" s="130"/>
      <c r="AE8" s="130"/>
      <c r="AF8" s="130"/>
      <c r="AG8" s="130"/>
      <c r="AH8" s="130"/>
    </row>
    <row r="9" spans="1:35" ht="12.75" customHeight="1">
      <c r="A9" s="139" t="s">
        <v>44</v>
      </c>
      <c r="B9" s="132" t="s">
        <v>47</v>
      </c>
      <c r="C9" s="281" t="s">
        <v>58</v>
      </c>
      <c r="D9" s="138">
        <v>43731</v>
      </c>
      <c r="E9" s="134">
        <v>44</v>
      </c>
      <c r="F9" s="134">
        <v>44</v>
      </c>
      <c r="G9" s="134">
        <f t="shared" si="2"/>
        <v>44</v>
      </c>
      <c r="H9" s="134">
        <f t="shared" si="3"/>
        <v>44</v>
      </c>
      <c r="I9" s="135">
        <v>0</v>
      </c>
      <c r="J9" s="140">
        <v>4</v>
      </c>
      <c r="K9" s="241">
        <v>4</v>
      </c>
      <c r="L9" s="183">
        <v>4</v>
      </c>
      <c r="M9" s="241">
        <v>4</v>
      </c>
      <c r="N9" s="183">
        <v>4</v>
      </c>
      <c r="O9" s="245" t="s">
        <v>39</v>
      </c>
      <c r="P9" s="245" t="s">
        <v>39</v>
      </c>
      <c r="Q9" s="140">
        <v>4</v>
      </c>
      <c r="R9" s="183">
        <v>4</v>
      </c>
      <c r="S9" s="183">
        <v>4</v>
      </c>
      <c r="T9" s="183">
        <v>4</v>
      </c>
      <c r="U9" s="183">
        <v>4</v>
      </c>
      <c r="V9" s="245" t="s">
        <v>39</v>
      </c>
      <c r="W9" s="245" t="s">
        <v>39</v>
      </c>
      <c r="X9" s="140">
        <v>4</v>
      </c>
      <c r="Y9" s="134"/>
      <c r="Z9" s="136">
        <v>11</v>
      </c>
      <c r="AA9" s="209"/>
      <c r="AB9" s="114"/>
      <c r="AC9" s="130"/>
      <c r="AD9" s="130"/>
      <c r="AE9" s="130"/>
      <c r="AF9" s="130"/>
      <c r="AG9" s="130"/>
      <c r="AH9" s="130"/>
    </row>
    <row r="10" spans="1:35" ht="12.75" customHeight="1">
      <c r="A10" s="139" t="s">
        <v>45</v>
      </c>
      <c r="B10" s="132" t="s">
        <v>47</v>
      </c>
      <c r="C10" s="281" t="s">
        <v>59</v>
      </c>
      <c r="D10" s="138">
        <v>45628</v>
      </c>
      <c r="E10" s="134">
        <v>88</v>
      </c>
      <c r="F10" s="134">
        <v>88</v>
      </c>
      <c r="G10" s="134">
        <f t="shared" si="2"/>
        <v>88</v>
      </c>
      <c r="H10" s="134">
        <f t="shared" si="3"/>
        <v>88</v>
      </c>
      <c r="I10" s="135">
        <v>0</v>
      </c>
      <c r="J10" s="140">
        <v>8</v>
      </c>
      <c r="K10" s="241">
        <v>8</v>
      </c>
      <c r="L10" s="241">
        <v>8</v>
      </c>
      <c r="M10" s="241">
        <v>8</v>
      </c>
      <c r="N10" s="241">
        <v>8</v>
      </c>
      <c r="O10" s="245" t="s">
        <v>39</v>
      </c>
      <c r="P10" s="245" t="s">
        <v>39</v>
      </c>
      <c r="Q10" s="140">
        <v>8</v>
      </c>
      <c r="R10" s="241">
        <v>8</v>
      </c>
      <c r="S10" s="241">
        <v>8</v>
      </c>
      <c r="T10" s="241">
        <v>8</v>
      </c>
      <c r="U10" s="241">
        <v>8</v>
      </c>
      <c r="V10" s="245" t="s">
        <v>39</v>
      </c>
      <c r="W10" s="245" t="s">
        <v>39</v>
      </c>
      <c r="X10" s="140">
        <v>8</v>
      </c>
      <c r="Y10" s="134"/>
      <c r="Z10" s="136">
        <v>11</v>
      </c>
      <c r="AA10" s="209"/>
      <c r="AB10" s="114"/>
      <c r="AC10" s="130"/>
      <c r="AD10" s="130"/>
      <c r="AE10" s="130"/>
      <c r="AF10" s="130"/>
      <c r="AG10" s="130"/>
      <c r="AH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34">
        <f t="shared" ref="Y11:Y14" si="4">Z11-COUNTA(J11:X11)</f>
        <v>10</v>
      </c>
      <c r="Z11" s="135">
        <f t="shared" ref="Z11:Z14" si="5">NETWORKDAYS($J$3,$X$3,$X$3)</f>
        <v>10</v>
      </c>
      <c r="AA11" s="209"/>
      <c r="AB11" s="114"/>
      <c r="AC11" s="130"/>
      <c r="AD11" s="130"/>
      <c r="AE11" s="130"/>
      <c r="AF11" s="130"/>
      <c r="AG11" s="130"/>
      <c r="AH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34">
        <f t="shared" si="4"/>
        <v>10</v>
      </c>
      <c r="Z12" s="135">
        <f t="shared" si="5"/>
        <v>10</v>
      </c>
      <c r="AA12" s="209"/>
      <c r="AB12" s="114"/>
      <c r="AC12" s="130"/>
      <c r="AD12" s="130"/>
      <c r="AE12" s="130"/>
      <c r="AF12" s="130"/>
      <c r="AG12" s="130"/>
      <c r="AH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34">
        <f t="shared" si="4"/>
        <v>10</v>
      </c>
      <c r="Z13" s="135">
        <f t="shared" si="5"/>
        <v>10</v>
      </c>
      <c r="AA13" s="209"/>
      <c r="AB13" s="114"/>
      <c r="AC13" s="130"/>
      <c r="AD13" s="130"/>
      <c r="AE13" s="130"/>
      <c r="AF13" s="130"/>
      <c r="AG13" s="130"/>
      <c r="AH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34">
        <f t="shared" si="4"/>
        <v>10</v>
      </c>
      <c r="Z14" s="135">
        <f t="shared" si="5"/>
        <v>10</v>
      </c>
      <c r="AA14" s="209"/>
      <c r="AB14" s="114"/>
      <c r="AC14" s="130"/>
      <c r="AD14" s="130"/>
      <c r="AE14" s="130"/>
      <c r="AF14" s="130"/>
      <c r="AG14" s="130"/>
      <c r="AH14" s="130"/>
    </row>
    <row r="15" spans="1:35" ht="12.75" customHeight="1">
      <c r="A15" s="223"/>
      <c r="B15" s="223"/>
      <c r="C15" s="229"/>
      <c r="D15" s="223"/>
      <c r="E15" s="224">
        <f t="shared" ref="E15:X15" si="6">SUM(E5:E14)</f>
        <v>484</v>
      </c>
      <c r="F15" s="224">
        <f t="shared" si="6"/>
        <v>484</v>
      </c>
      <c r="G15" s="224">
        <f t="shared" si="6"/>
        <v>460</v>
      </c>
      <c r="H15" s="224">
        <f t="shared" si="6"/>
        <v>460</v>
      </c>
      <c r="I15" s="224">
        <f t="shared" si="6"/>
        <v>0</v>
      </c>
      <c r="J15" s="224">
        <f t="shared" si="6"/>
        <v>36</v>
      </c>
      <c r="K15" s="224">
        <f t="shared" si="6"/>
        <v>44</v>
      </c>
      <c r="L15" s="224">
        <f t="shared" si="6"/>
        <v>44</v>
      </c>
      <c r="M15" s="224">
        <f t="shared" si="6"/>
        <v>44</v>
      </c>
      <c r="N15" s="224">
        <f t="shared" si="6"/>
        <v>44</v>
      </c>
      <c r="O15" s="224">
        <f t="shared" si="6"/>
        <v>0</v>
      </c>
      <c r="P15" s="224">
        <f t="shared" si="6"/>
        <v>0</v>
      </c>
      <c r="Q15" s="224">
        <f t="shared" si="6"/>
        <v>36</v>
      </c>
      <c r="R15" s="224">
        <f t="shared" si="6"/>
        <v>44</v>
      </c>
      <c r="S15" s="224">
        <f t="shared" si="6"/>
        <v>44</v>
      </c>
      <c r="T15" s="224">
        <f t="shared" si="6"/>
        <v>44</v>
      </c>
      <c r="U15" s="224">
        <f t="shared" si="6"/>
        <v>36</v>
      </c>
      <c r="V15" s="224">
        <f t="shared" si="6"/>
        <v>0</v>
      </c>
      <c r="W15" s="224">
        <f t="shared" si="6"/>
        <v>0</v>
      </c>
      <c r="X15" s="224">
        <f t="shared" si="6"/>
        <v>44</v>
      </c>
      <c r="Y15" s="224"/>
      <c r="Z15" s="224"/>
      <c r="AA15" s="209"/>
      <c r="AB15" s="114"/>
      <c r="AC15" s="130"/>
      <c r="AD15" s="130"/>
      <c r="AE15" s="130"/>
      <c r="AF15" s="130"/>
      <c r="AG15" s="130"/>
      <c r="AH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9" t="s">
        <v>1</v>
      </c>
      <c r="B18" s="269" t="s">
        <v>2</v>
      </c>
      <c r="C18" s="280" t="s">
        <v>54</v>
      </c>
      <c r="D18" s="269" t="s">
        <v>3</v>
      </c>
      <c r="E18" s="269" t="s">
        <v>4</v>
      </c>
      <c r="F18" s="271" t="s">
        <v>5</v>
      </c>
      <c r="G18" s="270"/>
      <c r="H18" s="270"/>
      <c r="I18" s="270"/>
      <c r="J18" s="141">
        <f>X3+1</f>
        <v>46007</v>
      </c>
      <c r="K18" s="141">
        <f t="shared" ref="K18:V18" si="7">J18+1</f>
        <v>46008</v>
      </c>
      <c r="L18" s="141">
        <f t="shared" si="7"/>
        <v>46009</v>
      </c>
      <c r="M18" s="141">
        <f t="shared" si="7"/>
        <v>46010</v>
      </c>
      <c r="N18" s="141">
        <f t="shared" si="7"/>
        <v>46011</v>
      </c>
      <c r="O18" s="141">
        <f t="shared" si="7"/>
        <v>46012</v>
      </c>
      <c r="P18" s="141">
        <f t="shared" si="7"/>
        <v>46013</v>
      </c>
      <c r="Q18" s="141">
        <f t="shared" si="7"/>
        <v>46014</v>
      </c>
      <c r="R18" s="141">
        <f t="shared" si="7"/>
        <v>46015</v>
      </c>
      <c r="S18" s="141">
        <f t="shared" si="7"/>
        <v>46016</v>
      </c>
      <c r="T18" s="141">
        <f t="shared" si="7"/>
        <v>46017</v>
      </c>
      <c r="U18" s="141">
        <f t="shared" si="7"/>
        <v>46018</v>
      </c>
      <c r="V18" s="141">
        <f t="shared" si="7"/>
        <v>46019</v>
      </c>
      <c r="W18" s="141">
        <f>V18+1</f>
        <v>46020</v>
      </c>
      <c r="X18" s="141">
        <f>W18+1</f>
        <v>46021</v>
      </c>
      <c r="Y18" s="141">
        <f>X18+1</f>
        <v>46022</v>
      </c>
      <c r="Z18" s="269" t="s">
        <v>6</v>
      </c>
      <c r="AA18" s="269" t="s">
        <v>7</v>
      </c>
      <c r="AB18" s="209"/>
      <c r="AC18" s="114"/>
    </row>
    <row r="19" spans="1:29" ht="26.25" customHeight="1">
      <c r="A19" s="270"/>
      <c r="B19" s="270"/>
      <c r="C19" s="270"/>
      <c r="D19" s="270"/>
      <c r="E19" s="270"/>
      <c r="F19" s="219" t="s">
        <v>8</v>
      </c>
      <c r="G19" s="220" t="s">
        <v>9</v>
      </c>
      <c r="H19" s="165" t="s">
        <v>10</v>
      </c>
      <c r="I19" s="165" t="s">
        <v>11</v>
      </c>
      <c r="J19" s="222" t="str">
        <f t="shared" ref="J19:V19" si="8">IF(J18="","",TEXT(WEEKDAY(J18), "ddd"))</f>
        <v>Tue</v>
      </c>
      <c r="K19" s="222" t="str">
        <f t="shared" si="8"/>
        <v>Wed</v>
      </c>
      <c r="L19" s="222" t="str">
        <f t="shared" si="8"/>
        <v>Thu</v>
      </c>
      <c r="M19" s="222" t="str">
        <f t="shared" si="8"/>
        <v>Fri</v>
      </c>
      <c r="N19" s="222" t="str">
        <f t="shared" si="8"/>
        <v>Sat</v>
      </c>
      <c r="O19" s="222" t="str">
        <f t="shared" si="8"/>
        <v>Sun</v>
      </c>
      <c r="P19" s="222" t="str">
        <f t="shared" si="8"/>
        <v>Mon</v>
      </c>
      <c r="Q19" s="127" t="str">
        <f t="shared" si="8"/>
        <v>Tue</v>
      </c>
      <c r="R19" s="127" t="str">
        <f t="shared" si="8"/>
        <v>Wed</v>
      </c>
      <c r="S19" s="222" t="str">
        <f t="shared" si="8"/>
        <v>Thu</v>
      </c>
      <c r="T19" s="222" t="str">
        <f t="shared" si="8"/>
        <v>Fri</v>
      </c>
      <c r="U19" s="222" t="str">
        <f t="shared" si="8"/>
        <v>Sat</v>
      </c>
      <c r="V19" s="222" t="str">
        <f t="shared" si="8"/>
        <v>Sun</v>
      </c>
      <c r="W19" s="222"/>
      <c r="X19" s="222"/>
      <c r="Y19" s="222"/>
      <c r="Z19" s="270"/>
      <c r="AA19" s="270"/>
      <c r="AB19" s="209"/>
      <c r="AC19" s="114"/>
    </row>
    <row r="20" spans="1:29" ht="12.75" customHeight="1">
      <c r="A20" s="131" t="s">
        <v>40</v>
      </c>
      <c r="B20" s="132" t="s">
        <v>47</v>
      </c>
      <c r="C20" s="281" t="s">
        <v>55</v>
      </c>
      <c r="D20" s="133">
        <v>43437</v>
      </c>
      <c r="E20" s="134">
        <v>88</v>
      </c>
      <c r="F20" s="134">
        <v>88</v>
      </c>
      <c r="G20" s="134">
        <f t="shared" ref="G20:G25" si="9">H20+I20</f>
        <v>88</v>
      </c>
      <c r="H20" s="134">
        <f t="shared" ref="H20:H25" si="10">SUM(J20:Y20)</f>
        <v>88</v>
      </c>
      <c r="I20" s="135">
        <v>0</v>
      </c>
      <c r="J20" s="180">
        <v>8</v>
      </c>
      <c r="K20" s="183">
        <v>8</v>
      </c>
      <c r="L20" s="180">
        <v>8</v>
      </c>
      <c r="M20" s="183">
        <v>8</v>
      </c>
      <c r="N20" s="245" t="s">
        <v>39</v>
      </c>
      <c r="O20" s="245" t="s">
        <v>39</v>
      </c>
      <c r="P20" s="259" t="s">
        <v>48</v>
      </c>
      <c r="Q20" s="180">
        <v>8</v>
      </c>
      <c r="R20" s="183">
        <v>8</v>
      </c>
      <c r="S20" s="207">
        <v>8</v>
      </c>
      <c r="T20" s="207">
        <v>8</v>
      </c>
      <c r="U20" s="245" t="s">
        <v>39</v>
      </c>
      <c r="V20" s="245" t="s">
        <v>39</v>
      </c>
      <c r="W20" s="183">
        <v>8</v>
      </c>
      <c r="X20" s="183">
        <v>8</v>
      </c>
      <c r="Y20" s="180">
        <v>8</v>
      </c>
      <c r="Z20" s="134"/>
      <c r="AA20" s="136">
        <v>10</v>
      </c>
      <c r="AB20" s="209"/>
      <c r="AC20" s="114"/>
    </row>
    <row r="21" spans="1:29" ht="12.75" customHeight="1">
      <c r="A21" s="131" t="s">
        <v>41</v>
      </c>
      <c r="B21" s="132" t="s">
        <v>47</v>
      </c>
      <c r="C21" s="281" t="s">
        <v>56</v>
      </c>
      <c r="D21" s="133">
        <v>45028</v>
      </c>
      <c r="E21" s="134">
        <v>88</v>
      </c>
      <c r="F21" s="134">
        <v>88</v>
      </c>
      <c r="G21" s="134">
        <f t="shared" si="9"/>
        <v>88</v>
      </c>
      <c r="H21" s="134">
        <f t="shared" si="10"/>
        <v>88</v>
      </c>
      <c r="I21" s="135">
        <v>0</v>
      </c>
      <c r="J21" s="180">
        <v>8</v>
      </c>
      <c r="K21" s="180">
        <v>8</v>
      </c>
      <c r="L21" s="180">
        <v>8</v>
      </c>
      <c r="M21" s="180">
        <v>8</v>
      </c>
      <c r="N21" s="245" t="s">
        <v>39</v>
      </c>
      <c r="O21" s="245" t="s">
        <v>39</v>
      </c>
      <c r="P21" s="259" t="s">
        <v>48</v>
      </c>
      <c r="Q21" s="207">
        <v>8</v>
      </c>
      <c r="R21" s="180">
        <v>8</v>
      </c>
      <c r="S21" s="207">
        <v>8</v>
      </c>
      <c r="T21" s="207">
        <v>8</v>
      </c>
      <c r="U21" s="245" t="s">
        <v>39</v>
      </c>
      <c r="V21" s="245" t="s">
        <v>39</v>
      </c>
      <c r="W21" s="183">
        <v>8</v>
      </c>
      <c r="X21" s="183">
        <v>8</v>
      </c>
      <c r="Y21" s="180">
        <v>8</v>
      </c>
      <c r="Z21" s="134"/>
      <c r="AA21" s="136">
        <v>10</v>
      </c>
      <c r="AB21" s="209"/>
      <c r="AC21" s="114"/>
    </row>
    <row r="22" spans="1:29" ht="12.75" customHeight="1">
      <c r="A22" s="131" t="s">
        <v>42</v>
      </c>
      <c r="B22" s="132" t="s">
        <v>47</v>
      </c>
      <c r="C22" s="281" t="s">
        <v>57</v>
      </c>
      <c r="D22" s="133">
        <v>43395</v>
      </c>
      <c r="E22" s="134">
        <v>88</v>
      </c>
      <c r="F22" s="134">
        <v>88</v>
      </c>
      <c r="G22" s="134">
        <f t="shared" si="9"/>
        <v>88</v>
      </c>
      <c r="H22" s="134">
        <f t="shared" si="10"/>
        <v>88</v>
      </c>
      <c r="I22" s="135">
        <v>0</v>
      </c>
      <c r="J22" s="180">
        <v>8</v>
      </c>
      <c r="K22" s="180">
        <v>8</v>
      </c>
      <c r="L22" s="180">
        <v>8</v>
      </c>
      <c r="M22" s="180">
        <v>8</v>
      </c>
      <c r="N22" s="245" t="s">
        <v>39</v>
      </c>
      <c r="O22" s="245" t="s">
        <v>39</v>
      </c>
      <c r="P22" s="259" t="s">
        <v>48</v>
      </c>
      <c r="Q22" s="180">
        <v>8</v>
      </c>
      <c r="R22" s="180">
        <v>8</v>
      </c>
      <c r="S22" s="207">
        <v>8</v>
      </c>
      <c r="T22" s="207">
        <v>8</v>
      </c>
      <c r="U22" s="245" t="s">
        <v>39</v>
      </c>
      <c r="V22" s="245" t="s">
        <v>39</v>
      </c>
      <c r="W22" s="183">
        <v>8</v>
      </c>
      <c r="X22" s="183">
        <v>8</v>
      </c>
      <c r="Y22" s="180">
        <v>8</v>
      </c>
      <c r="Z22" s="134"/>
      <c r="AA22" s="136">
        <v>10</v>
      </c>
      <c r="AB22" s="209"/>
      <c r="AC22" s="114"/>
    </row>
    <row r="23" spans="1:29" ht="12.75" customHeight="1">
      <c r="A23" s="131" t="s">
        <v>43</v>
      </c>
      <c r="B23" s="132" t="s">
        <v>47</v>
      </c>
      <c r="C23" s="281" t="s">
        <v>56</v>
      </c>
      <c r="D23" s="138">
        <v>43741</v>
      </c>
      <c r="E23" s="134">
        <v>88</v>
      </c>
      <c r="F23" s="134">
        <v>88</v>
      </c>
      <c r="G23" s="134">
        <f t="shared" si="9"/>
        <v>88</v>
      </c>
      <c r="H23" s="134">
        <f t="shared" si="10"/>
        <v>88</v>
      </c>
      <c r="I23" s="135">
        <v>0</v>
      </c>
      <c r="J23" s="180">
        <v>8</v>
      </c>
      <c r="K23" s="180">
        <v>8</v>
      </c>
      <c r="L23" s="180">
        <v>8</v>
      </c>
      <c r="M23" s="180">
        <v>8</v>
      </c>
      <c r="N23" s="245" t="s">
        <v>39</v>
      </c>
      <c r="O23" s="245" t="s">
        <v>39</v>
      </c>
      <c r="P23" s="259" t="s">
        <v>48</v>
      </c>
      <c r="Q23" s="183">
        <v>8</v>
      </c>
      <c r="R23" s="180">
        <v>8</v>
      </c>
      <c r="S23" s="207">
        <v>8</v>
      </c>
      <c r="T23" s="207">
        <v>8</v>
      </c>
      <c r="U23" s="245" t="s">
        <v>39</v>
      </c>
      <c r="V23" s="245" t="s">
        <v>39</v>
      </c>
      <c r="W23" s="183">
        <v>8</v>
      </c>
      <c r="X23" s="183">
        <v>8</v>
      </c>
      <c r="Y23" s="180">
        <v>8</v>
      </c>
      <c r="Z23" s="134"/>
      <c r="AA23" s="136">
        <v>10</v>
      </c>
      <c r="AB23" s="209"/>
      <c r="AC23" s="114"/>
    </row>
    <row r="24" spans="1:29" ht="12.75" customHeight="1">
      <c r="A24" s="139" t="s">
        <v>44</v>
      </c>
      <c r="B24" s="132" t="s">
        <v>47</v>
      </c>
      <c r="C24" s="281" t="s">
        <v>58</v>
      </c>
      <c r="D24" s="138">
        <v>43731</v>
      </c>
      <c r="E24" s="134">
        <v>44</v>
      </c>
      <c r="F24" s="134">
        <v>44</v>
      </c>
      <c r="G24" s="134">
        <f t="shared" si="9"/>
        <v>36</v>
      </c>
      <c r="H24" s="134">
        <f t="shared" si="10"/>
        <v>36</v>
      </c>
      <c r="I24" s="135">
        <v>0</v>
      </c>
      <c r="J24" s="180">
        <v>4</v>
      </c>
      <c r="K24" s="180">
        <v>4</v>
      </c>
      <c r="L24" s="180">
        <v>4</v>
      </c>
      <c r="M24" s="186"/>
      <c r="N24" s="245" t="s">
        <v>39</v>
      </c>
      <c r="O24" s="245" t="s">
        <v>39</v>
      </c>
      <c r="P24" s="259" t="s">
        <v>48</v>
      </c>
      <c r="Q24" s="236"/>
      <c r="R24" s="207">
        <v>4</v>
      </c>
      <c r="S24" s="207">
        <v>4</v>
      </c>
      <c r="T24" s="207">
        <v>4</v>
      </c>
      <c r="U24" s="245" t="s">
        <v>39</v>
      </c>
      <c r="V24" s="245" t="s">
        <v>39</v>
      </c>
      <c r="W24" s="183">
        <v>4</v>
      </c>
      <c r="X24" s="183">
        <v>4</v>
      </c>
      <c r="Y24" s="180">
        <v>4</v>
      </c>
      <c r="Z24" s="134"/>
      <c r="AA24" s="136">
        <v>10</v>
      </c>
      <c r="AB24" s="209"/>
      <c r="AC24" s="114"/>
    </row>
    <row r="25" spans="1:29" ht="12.75" customHeight="1">
      <c r="A25" s="139" t="s">
        <v>45</v>
      </c>
      <c r="B25" s="132" t="s">
        <v>47</v>
      </c>
      <c r="C25" s="281" t="s">
        <v>59</v>
      </c>
      <c r="D25" s="138">
        <v>45628</v>
      </c>
      <c r="E25" s="134">
        <v>88</v>
      </c>
      <c r="F25" s="134">
        <v>88</v>
      </c>
      <c r="G25" s="134">
        <f t="shared" si="9"/>
        <v>80</v>
      </c>
      <c r="H25" s="134">
        <f t="shared" si="10"/>
        <v>80</v>
      </c>
      <c r="I25" s="135">
        <v>0</v>
      </c>
      <c r="J25" s="241">
        <v>8</v>
      </c>
      <c r="K25" s="241">
        <v>8</v>
      </c>
      <c r="L25" s="241">
        <v>8</v>
      </c>
      <c r="M25" s="241">
        <v>8</v>
      </c>
      <c r="N25" s="245" t="s">
        <v>39</v>
      </c>
      <c r="O25" s="245" t="s">
        <v>39</v>
      </c>
      <c r="P25" s="259" t="s">
        <v>48</v>
      </c>
      <c r="Q25" s="241">
        <v>8</v>
      </c>
      <c r="R25" s="241">
        <v>8</v>
      </c>
      <c r="S25" s="207">
        <v>8</v>
      </c>
      <c r="T25" s="207">
        <v>8</v>
      </c>
      <c r="U25" s="245" t="s">
        <v>39</v>
      </c>
      <c r="V25" s="245" t="s">
        <v>39</v>
      </c>
      <c r="W25" s="236"/>
      <c r="X25" s="183">
        <v>8</v>
      </c>
      <c r="Y25" s="180">
        <v>8</v>
      </c>
      <c r="Z25" s="134">
        <v>1</v>
      </c>
      <c r="AA25" s="136">
        <v>10</v>
      </c>
      <c r="AB25" s="209"/>
      <c r="AC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34"/>
      <c r="AA26" s="135"/>
      <c r="AB26" s="209"/>
      <c r="AC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34"/>
      <c r="AA27" s="135"/>
      <c r="AB27" s="209"/>
      <c r="AC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34"/>
      <c r="AA28" s="135"/>
      <c r="AB28" s="209"/>
      <c r="AC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34"/>
      <c r="AA29" s="135"/>
      <c r="AB29" s="209"/>
      <c r="AC29" s="114"/>
    </row>
    <row r="30" spans="1:29" ht="12.75" customHeight="1">
      <c r="A30" s="228"/>
      <c r="B30" s="228"/>
      <c r="C30" s="229"/>
      <c r="D30" s="229"/>
      <c r="E30" s="224">
        <f t="shared" ref="E30:V30" si="11">SUM(E20:E29)</f>
        <v>484</v>
      </c>
      <c r="F30" s="224">
        <f t="shared" si="11"/>
        <v>484</v>
      </c>
      <c r="G30" s="224">
        <f t="shared" si="11"/>
        <v>468</v>
      </c>
      <c r="H30" s="224">
        <f t="shared" si="11"/>
        <v>468</v>
      </c>
      <c r="I30" s="224">
        <f t="shared" si="11"/>
        <v>0</v>
      </c>
      <c r="J30" s="224">
        <f t="shared" si="11"/>
        <v>44</v>
      </c>
      <c r="K30" s="224">
        <f t="shared" si="11"/>
        <v>44</v>
      </c>
      <c r="L30" s="224">
        <f t="shared" si="11"/>
        <v>44</v>
      </c>
      <c r="M30" s="224">
        <f t="shared" si="11"/>
        <v>40</v>
      </c>
      <c r="N30" s="224">
        <f t="shared" si="11"/>
        <v>0</v>
      </c>
      <c r="O30" s="224">
        <f t="shared" si="11"/>
        <v>0</v>
      </c>
      <c r="P30" s="224">
        <f t="shared" si="11"/>
        <v>0</v>
      </c>
      <c r="Q30" s="224">
        <f t="shared" si="11"/>
        <v>40</v>
      </c>
      <c r="R30" s="224">
        <f t="shared" si="11"/>
        <v>44</v>
      </c>
      <c r="S30" s="224">
        <f t="shared" si="11"/>
        <v>44</v>
      </c>
      <c r="T30" s="224">
        <f t="shared" si="11"/>
        <v>44</v>
      </c>
      <c r="U30" s="224">
        <f t="shared" si="11"/>
        <v>0</v>
      </c>
      <c r="V30" s="224">
        <f t="shared" si="11"/>
        <v>0</v>
      </c>
      <c r="W30" s="224"/>
      <c r="X30" s="224"/>
      <c r="Y30" s="224"/>
      <c r="Z30" s="224"/>
      <c r="AA30" s="224"/>
      <c r="AB30" s="210"/>
      <c r="AC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6" t="s">
        <v>25</v>
      </c>
      <c r="E33" s="246" t="s">
        <v>38</v>
      </c>
      <c r="F33" s="120"/>
      <c r="G33" s="120"/>
      <c r="H33" s="120"/>
      <c r="I33" s="120"/>
      <c r="J33" s="120"/>
      <c r="K33" s="118"/>
      <c r="L33" s="118"/>
      <c r="M33" s="118"/>
      <c r="N33" s="118"/>
      <c r="O33" s="118"/>
      <c r="P33" s="118"/>
      <c r="Q33" s="120"/>
      <c r="R33" s="120"/>
      <c r="S33" s="120"/>
      <c r="T33" s="120"/>
      <c r="U33" s="120"/>
      <c r="V33" s="120"/>
      <c r="W33" s="120"/>
      <c r="X33" s="120"/>
      <c r="Y33" s="120"/>
      <c r="Z33" s="148"/>
      <c r="AA33" s="120"/>
      <c r="AB33" s="114"/>
    </row>
    <row r="34" spans="1:29" ht="13.5" customHeight="1">
      <c r="A34" s="131" t="s">
        <v>40</v>
      </c>
      <c r="B34" s="153">
        <f>G5+G20</f>
        <v>160</v>
      </c>
      <c r="C34" s="154">
        <f>F5+F20</f>
        <v>176</v>
      </c>
      <c r="D34" s="247">
        <f t="shared" ref="D34:D39" si="12">B34</f>
        <v>160</v>
      </c>
      <c r="E34" s="250">
        <v>29</v>
      </c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</row>
    <row r="35" spans="1:29" ht="13.5" customHeight="1">
      <c r="A35" s="131" t="s">
        <v>41</v>
      </c>
      <c r="B35" s="153">
        <f>G6+G21</f>
        <v>176</v>
      </c>
      <c r="C35" s="154">
        <f>F6+F21</f>
        <v>176</v>
      </c>
      <c r="D35" s="247">
        <f t="shared" si="12"/>
        <v>176</v>
      </c>
      <c r="E35" s="250">
        <v>32</v>
      </c>
      <c r="F35" s="114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48"/>
      <c r="AA35" s="120"/>
      <c r="AB35" s="114"/>
    </row>
    <row r="36" spans="1:29" ht="13.5" customHeight="1">
      <c r="A36" s="131" t="s">
        <v>42</v>
      </c>
      <c r="B36" s="153">
        <f>G7+G22</f>
        <v>168</v>
      </c>
      <c r="C36" s="154">
        <f>F7+F22</f>
        <v>176</v>
      </c>
      <c r="D36" s="247">
        <f t="shared" si="12"/>
        <v>168</v>
      </c>
      <c r="E36" s="250">
        <v>36</v>
      </c>
      <c r="F36" s="114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48"/>
      <c r="AA36" s="120"/>
      <c r="AB36" s="114"/>
    </row>
    <row r="37" spans="1:29" ht="13.5" customHeight="1">
      <c r="A37" s="131" t="s">
        <v>43</v>
      </c>
      <c r="B37" s="153">
        <f>G8+G23</f>
        <v>176</v>
      </c>
      <c r="C37" s="154">
        <f>F8+F23</f>
        <v>176</v>
      </c>
      <c r="D37" s="247">
        <f t="shared" si="12"/>
        <v>176</v>
      </c>
      <c r="E37" s="250">
        <v>23</v>
      </c>
      <c r="F37" s="114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48"/>
      <c r="AA37" s="120"/>
      <c r="AB37" s="114"/>
    </row>
    <row r="38" spans="1:29" ht="13.5" customHeight="1">
      <c r="A38" s="139" t="s">
        <v>44</v>
      </c>
      <c r="B38" s="216">
        <f>G9+G24</f>
        <v>80</v>
      </c>
      <c r="C38" s="217">
        <f>F9+F24</f>
        <v>88</v>
      </c>
      <c r="D38" s="248">
        <f t="shared" si="12"/>
        <v>80</v>
      </c>
      <c r="E38" s="250">
        <v>28</v>
      </c>
      <c r="F38" s="114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48"/>
      <c r="AA38" s="120"/>
      <c r="AB38" s="114"/>
    </row>
    <row r="39" spans="1:29" ht="13.5" customHeight="1" thickBot="1">
      <c r="A39" s="139" t="s">
        <v>45</v>
      </c>
      <c r="B39" s="158">
        <f>H10+H25</f>
        <v>168</v>
      </c>
      <c r="C39" s="159">
        <f>F10+F25</f>
        <v>176</v>
      </c>
      <c r="D39" s="249">
        <f t="shared" si="12"/>
        <v>168</v>
      </c>
      <c r="E39" s="250">
        <v>27</v>
      </c>
      <c r="F39" s="114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48"/>
      <c r="AA39" s="120"/>
      <c r="AB39" s="114"/>
    </row>
    <row r="40" spans="1:29" ht="13.5" hidden="1" customHeight="1">
      <c r="A40" s="211"/>
      <c r="B40" s="212">
        <f>H11+H26</f>
        <v>0</v>
      </c>
      <c r="C40" s="213">
        <f t="shared" ref="C40:D43" si="13">B40</f>
        <v>0</v>
      </c>
      <c r="D40" s="214">
        <f t="shared" si="13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H12+H27</f>
        <v>0</v>
      </c>
      <c r="C41" s="154">
        <f t="shared" si="13"/>
        <v>0</v>
      </c>
      <c r="D41" s="155">
        <f t="shared" si="13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H13+H28</f>
        <v>0</v>
      </c>
      <c r="C42" s="154">
        <f t="shared" si="13"/>
        <v>0</v>
      </c>
      <c r="D42" s="155">
        <f t="shared" si="13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H14+H29</f>
        <v>0</v>
      </c>
      <c r="C43" s="159">
        <f t="shared" si="13"/>
        <v>0</v>
      </c>
      <c r="D43" s="160">
        <f t="shared" si="13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3" t="s">
        <v>0</v>
      </c>
      <c r="B46" s="264"/>
      <c r="C46" s="26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 thickBot="1">
      <c r="A50" s="157" t="s">
        <v>31</v>
      </c>
      <c r="B50" s="172">
        <f t="shared" ref="B50:C50" si="14">B48-B49</f>
        <v>10</v>
      </c>
      <c r="C50" s="173">
        <f t="shared" si="14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 thickBo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3" t="s">
        <v>22</v>
      </c>
      <c r="B53" s="264"/>
      <c r="C53" s="26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15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15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 thickBot="1">
      <c r="A57" s="176" t="s">
        <v>31</v>
      </c>
      <c r="B57" s="172">
        <f t="shared" ref="B57:C57" si="16">B55-B56</f>
        <v>12</v>
      </c>
      <c r="C57" s="173">
        <f t="shared" si="16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 thickBo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 thickBo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/>
    <row r="261" s="115" customFormat="1"/>
    <row r="262" s="115" customFormat="1"/>
    <row r="263" s="115" customFormat="1"/>
    <row r="264" s="115" customFormat="1"/>
    <row r="265" s="115" customFormat="1"/>
    <row r="266" s="115" customFormat="1"/>
    <row r="267" s="115" customFormat="1"/>
    <row r="268" s="115" customFormat="1"/>
    <row r="269" s="115" customFormat="1"/>
    <row r="270" s="115" customFormat="1"/>
    <row r="271" s="115" customFormat="1"/>
    <row r="272" s="115" customFormat="1"/>
    <row r="273" s="115" customFormat="1"/>
    <row r="274" s="115" customFormat="1"/>
    <row r="275" s="115" customFormat="1"/>
    <row r="276" s="115" customFormat="1"/>
    <row r="277" s="115" customFormat="1"/>
    <row r="278" s="115" customFormat="1"/>
    <row r="279" s="115" customFormat="1"/>
    <row r="280" s="115" customFormat="1"/>
    <row r="281" s="115" customFormat="1"/>
    <row r="282" s="115" customFormat="1"/>
    <row r="283" s="115" customFormat="1"/>
    <row r="284" s="115" customFormat="1"/>
    <row r="285" s="115" customFormat="1"/>
    <row r="286" s="115" customFormat="1"/>
    <row r="287" s="115" customFormat="1"/>
    <row r="288" s="115" customFormat="1"/>
    <row r="289" s="115" customFormat="1"/>
    <row r="290" s="115" customFormat="1"/>
    <row r="291" s="115" customFormat="1"/>
    <row r="292" s="115" customFormat="1"/>
    <row r="293" s="115" customFormat="1"/>
    <row r="294" s="115" customFormat="1"/>
    <row r="295" s="115" customFormat="1"/>
    <row r="296" s="115" customFormat="1"/>
    <row r="297" s="115" customFormat="1"/>
    <row r="298" s="115" customFormat="1"/>
    <row r="299" s="115" customFormat="1"/>
    <row r="300" s="115" customFormat="1"/>
    <row r="301" s="115" customFormat="1"/>
    <row r="302" s="115" customFormat="1"/>
    <row r="303" s="115" customFormat="1"/>
    <row r="304" s="115" customFormat="1"/>
    <row r="305" s="115" customFormat="1"/>
    <row r="306" s="115" customFormat="1"/>
    <row r="307" s="115" customFormat="1"/>
    <row r="308" s="115" customFormat="1"/>
    <row r="309" s="115" customFormat="1"/>
    <row r="310" s="115" customFormat="1"/>
    <row r="311" s="115" customFormat="1"/>
    <row r="312" s="115" customFormat="1"/>
    <row r="313" s="115" customFormat="1"/>
    <row r="314" s="115" customFormat="1"/>
    <row r="315" s="115" customFormat="1"/>
    <row r="316" s="115" customFormat="1"/>
    <row r="317" s="115" customFormat="1"/>
    <row r="318" s="115" customFormat="1"/>
    <row r="319" s="115" customFormat="1"/>
    <row r="320" s="115" customFormat="1"/>
    <row r="321" s="115" customFormat="1"/>
    <row r="322" s="115" customFormat="1"/>
    <row r="323" s="115" customFormat="1"/>
    <row r="324" s="115" customFormat="1"/>
    <row r="325" s="115" customFormat="1"/>
    <row r="326" s="115" customFormat="1"/>
    <row r="327" s="115" customFormat="1"/>
    <row r="328" s="115" customFormat="1"/>
    <row r="329" s="115" customFormat="1"/>
    <row r="330" s="115" customFormat="1"/>
    <row r="331" s="115" customFormat="1"/>
    <row r="332" s="115" customFormat="1"/>
    <row r="333" s="115" customFormat="1"/>
    <row r="334" s="115" customFormat="1"/>
    <row r="335" s="115" customFormat="1"/>
    <row r="336" s="115" customFormat="1"/>
    <row r="337" s="115" customFormat="1"/>
    <row r="338" s="115" customFormat="1"/>
    <row r="339" s="115" customFormat="1"/>
    <row r="340" s="115" customFormat="1"/>
    <row r="341" s="115" customFormat="1"/>
    <row r="342" s="115" customFormat="1"/>
    <row r="343" s="115" customFormat="1"/>
    <row r="344" s="115" customFormat="1"/>
    <row r="345" s="115" customFormat="1"/>
    <row r="346" s="115" customFormat="1"/>
    <row r="347" s="115" customFormat="1"/>
    <row r="348" s="115" customFormat="1"/>
    <row r="349" s="115" customFormat="1"/>
    <row r="350" s="115" customFormat="1"/>
    <row r="351" s="115" customFormat="1"/>
    <row r="352" s="115" customFormat="1"/>
    <row r="353" s="115" customFormat="1"/>
    <row r="354" s="115" customFormat="1"/>
    <row r="355" s="115" customFormat="1"/>
    <row r="356" s="115" customFormat="1"/>
    <row r="357" s="115" customFormat="1"/>
    <row r="358" s="115" customFormat="1"/>
    <row r="359" s="115" customFormat="1"/>
    <row r="360" s="115" customFormat="1"/>
    <row r="361" s="115" customFormat="1"/>
    <row r="362" s="115" customFormat="1"/>
    <row r="363" s="115" customFormat="1"/>
    <row r="364" s="115" customFormat="1"/>
    <row r="365" s="115" customFormat="1"/>
    <row r="366" s="115" customFormat="1"/>
    <row r="367" s="115" customFormat="1"/>
    <row r="368" s="115" customFormat="1"/>
    <row r="369" s="115" customFormat="1"/>
    <row r="370" s="115" customFormat="1"/>
    <row r="371" s="115" customFormat="1"/>
    <row r="372" s="115" customFormat="1"/>
    <row r="373" s="115" customFormat="1"/>
    <row r="374" s="115" customFormat="1"/>
    <row r="375" s="115" customFormat="1"/>
    <row r="376" s="115" customFormat="1"/>
    <row r="377" s="115" customFormat="1"/>
    <row r="378" s="115" customFormat="1"/>
    <row r="379" s="115" customFormat="1"/>
    <row r="380" s="115" customFormat="1"/>
    <row r="381" s="115" customFormat="1"/>
    <row r="382" s="115" customFormat="1"/>
    <row r="383" s="115" customFormat="1"/>
    <row r="384" s="115" customFormat="1"/>
    <row r="385" s="115" customFormat="1"/>
    <row r="386" s="115" customFormat="1"/>
    <row r="387" s="115" customFormat="1"/>
    <row r="388" s="115" customFormat="1"/>
    <row r="389" s="115" customFormat="1"/>
    <row r="390" s="115" customFormat="1"/>
    <row r="391" s="115" customFormat="1"/>
    <row r="392" s="115" customFormat="1"/>
    <row r="393" s="115" customFormat="1"/>
    <row r="394" s="115" customFormat="1"/>
    <row r="395" s="115" customFormat="1"/>
    <row r="396" s="115" customFormat="1"/>
    <row r="397" s="115" customFormat="1"/>
    <row r="398" s="115" customFormat="1"/>
    <row r="399" s="115" customFormat="1"/>
    <row r="400" s="115" customFormat="1"/>
    <row r="401" s="115" customFormat="1"/>
    <row r="402" s="115" customFormat="1"/>
    <row r="403" s="115" customFormat="1"/>
    <row r="404" s="115" customFormat="1"/>
    <row r="405" s="115" customFormat="1"/>
    <row r="406" s="115" customFormat="1"/>
    <row r="407" s="115" customFormat="1"/>
    <row r="408" s="115" customFormat="1"/>
    <row r="409" s="115" customFormat="1"/>
    <row r="410" s="115" customFormat="1"/>
    <row r="411" s="115" customFormat="1"/>
    <row r="412" s="115" customFormat="1"/>
    <row r="413" s="115" customFormat="1"/>
    <row r="414" s="115" customFormat="1"/>
    <row r="415" s="115" customFormat="1"/>
    <row r="416" s="115" customFormat="1"/>
    <row r="417" s="115" customFormat="1"/>
    <row r="418" s="115" customFormat="1"/>
    <row r="419" s="115" customFormat="1"/>
    <row r="420" s="115" customFormat="1"/>
    <row r="421" s="115" customFormat="1"/>
    <row r="422" s="115" customFormat="1"/>
    <row r="423" s="115" customFormat="1"/>
    <row r="424" s="115" customFormat="1"/>
    <row r="425" s="115" customFormat="1"/>
    <row r="426" s="115" customFormat="1"/>
    <row r="427" s="115" customFormat="1"/>
    <row r="428" s="115" customFormat="1"/>
    <row r="429" s="115" customFormat="1"/>
    <row r="430" s="115" customFormat="1"/>
    <row r="431" s="115" customFormat="1"/>
    <row r="432" s="115" customFormat="1"/>
    <row r="433" s="115" customFormat="1"/>
    <row r="434" s="115" customFormat="1"/>
    <row r="435" s="115" customFormat="1"/>
    <row r="436" s="115" customFormat="1"/>
    <row r="437" s="115" customFormat="1"/>
    <row r="438" s="115" customFormat="1"/>
    <row r="439" s="115" customFormat="1"/>
    <row r="440" s="115" customFormat="1"/>
    <row r="441" s="115" customFormat="1"/>
    <row r="442" s="115" customFormat="1"/>
    <row r="443" s="115" customFormat="1"/>
    <row r="444" s="115" customFormat="1"/>
    <row r="445" s="115" customFormat="1"/>
    <row r="446" s="115" customFormat="1"/>
    <row r="447" s="115" customFormat="1"/>
    <row r="448" s="115" customFormat="1"/>
    <row r="449" s="115" customFormat="1"/>
    <row r="450" s="115" customFormat="1"/>
    <row r="451" s="115" customFormat="1"/>
    <row r="452" s="115" customFormat="1"/>
    <row r="453" s="115" customFormat="1"/>
    <row r="454" s="115" customFormat="1"/>
    <row r="455" s="115" customFormat="1"/>
    <row r="456" s="115" customFormat="1"/>
    <row r="457" s="115" customFormat="1"/>
    <row r="458" s="115" customFormat="1"/>
    <row r="459" s="115" customFormat="1"/>
    <row r="460" s="115" customFormat="1"/>
    <row r="461" s="115" customFormat="1"/>
    <row r="462" s="115" customFormat="1"/>
    <row r="463" s="115" customFormat="1"/>
    <row r="464" s="115" customFormat="1"/>
    <row r="465" s="115" customFormat="1"/>
    <row r="466" s="115" customFormat="1"/>
    <row r="467" s="115" customFormat="1"/>
    <row r="468" s="115" customFormat="1"/>
    <row r="469" s="115" customFormat="1"/>
    <row r="470" s="115" customFormat="1"/>
    <row r="471" s="115" customFormat="1"/>
    <row r="472" s="115" customFormat="1"/>
    <row r="473" s="115" customFormat="1"/>
    <row r="474" s="115" customFormat="1"/>
    <row r="475" s="115" customFormat="1"/>
    <row r="476" s="115" customFormat="1"/>
    <row r="477" s="115" customFormat="1"/>
    <row r="478" s="115" customFormat="1"/>
    <row r="479" s="115" customFormat="1"/>
    <row r="480" s="115" customFormat="1"/>
    <row r="481" s="115" customFormat="1"/>
    <row r="482" s="115" customFormat="1"/>
    <row r="483" s="115" customFormat="1"/>
    <row r="484" s="115" customFormat="1"/>
    <row r="485" s="115" customFormat="1"/>
    <row r="486" s="115" customFormat="1"/>
    <row r="487" s="115" customFormat="1"/>
    <row r="488" s="115" customFormat="1"/>
    <row r="489" s="115" customFormat="1"/>
    <row r="490" s="115" customFormat="1"/>
    <row r="491" s="115" customFormat="1"/>
    <row r="492" s="115" customFormat="1"/>
    <row r="493" s="115" customFormat="1"/>
    <row r="494" s="115" customFormat="1"/>
    <row r="495" s="115" customFormat="1"/>
    <row r="496" s="115" customFormat="1"/>
    <row r="497" s="115" customFormat="1"/>
    <row r="498" s="115" customFormat="1"/>
    <row r="499" s="115" customFormat="1"/>
    <row r="500" s="115" customFormat="1"/>
    <row r="501" s="115" customFormat="1"/>
    <row r="502" s="115" customFormat="1"/>
    <row r="503" s="115" customFormat="1"/>
    <row r="504" s="115" customFormat="1"/>
    <row r="505" s="115" customFormat="1"/>
    <row r="506" s="115" customFormat="1"/>
    <row r="507" s="115" customFormat="1"/>
    <row r="508" s="115" customFormat="1"/>
    <row r="509" s="115" customFormat="1"/>
    <row r="510" s="115" customFormat="1"/>
    <row r="511" s="115" customFormat="1"/>
    <row r="512" s="115" customFormat="1"/>
    <row r="513" s="115" customFormat="1"/>
    <row r="514" s="115" customFormat="1"/>
    <row r="515" s="115" customFormat="1"/>
    <row r="516" s="115" customFormat="1"/>
    <row r="517" s="115" customFormat="1"/>
    <row r="518" s="115" customFormat="1"/>
    <row r="519" s="115" customFormat="1"/>
    <row r="520" s="115" customFormat="1"/>
    <row r="521" s="115" customFormat="1"/>
    <row r="522" s="115" customFormat="1"/>
    <row r="523" s="115" customFormat="1"/>
    <row r="524" s="115" customFormat="1"/>
    <row r="525" s="115" customFormat="1"/>
    <row r="526" s="115" customFormat="1"/>
    <row r="527" s="115" customFormat="1"/>
    <row r="528" s="115" customFormat="1"/>
    <row r="529" s="115" customFormat="1"/>
    <row r="530" s="115" customFormat="1"/>
    <row r="531" s="115" customFormat="1"/>
    <row r="532" s="115" customFormat="1"/>
    <row r="533" s="115" customFormat="1"/>
    <row r="534" s="115" customFormat="1"/>
    <row r="535" s="115" customFormat="1"/>
    <row r="536" s="115" customFormat="1"/>
    <row r="537" s="115" customFormat="1"/>
    <row r="538" s="115" customFormat="1"/>
    <row r="539" s="115" customFormat="1"/>
    <row r="540" s="115" customFormat="1"/>
    <row r="541" s="115" customFormat="1"/>
    <row r="542" s="115" customFormat="1"/>
    <row r="543" s="115" customFormat="1"/>
    <row r="544" s="115" customFormat="1"/>
    <row r="545" s="115" customFormat="1"/>
    <row r="546" s="115" customFormat="1"/>
    <row r="547" s="115" customFormat="1"/>
    <row r="548" s="115" customFormat="1"/>
    <row r="549" s="115" customFormat="1"/>
    <row r="550" s="115" customFormat="1"/>
    <row r="551" s="115" customFormat="1"/>
    <row r="552" s="115" customFormat="1"/>
    <row r="553" s="115" customFormat="1"/>
    <row r="554" s="115" customFormat="1"/>
    <row r="555" s="115" customFormat="1"/>
    <row r="556" s="115" customFormat="1"/>
    <row r="557" s="115" customFormat="1"/>
    <row r="558" s="115" customFormat="1"/>
    <row r="559" s="115" customFormat="1"/>
    <row r="560" s="115" customFormat="1"/>
    <row r="561" s="115" customFormat="1"/>
    <row r="562" s="115" customFormat="1"/>
    <row r="563" s="115" customFormat="1"/>
    <row r="564" s="115" customFormat="1"/>
    <row r="565" s="115" customFormat="1"/>
    <row r="566" s="115" customFormat="1"/>
    <row r="567" s="115" customFormat="1"/>
    <row r="568" s="115" customFormat="1"/>
    <row r="569" s="115" customFormat="1"/>
    <row r="570" s="115" customFormat="1"/>
    <row r="571" s="115" customFormat="1"/>
    <row r="572" s="115" customFormat="1"/>
    <row r="573" s="115" customFormat="1"/>
    <row r="574" s="115" customFormat="1"/>
    <row r="575" s="115" customFormat="1"/>
    <row r="576" s="115" customFormat="1"/>
    <row r="577" s="115" customFormat="1"/>
    <row r="578" s="115" customFormat="1"/>
    <row r="579" s="115" customFormat="1"/>
    <row r="580" s="115" customFormat="1"/>
    <row r="581" s="115" customFormat="1"/>
    <row r="582" s="115" customFormat="1"/>
    <row r="583" s="115" customFormat="1"/>
    <row r="584" s="115" customFormat="1"/>
    <row r="585" s="115" customFormat="1"/>
    <row r="586" s="115" customFormat="1"/>
    <row r="587" s="115" customFormat="1"/>
    <row r="588" s="115" customFormat="1"/>
    <row r="589" s="115" customFormat="1"/>
    <row r="590" s="115" customFormat="1"/>
    <row r="591" s="115" customFormat="1"/>
    <row r="592" s="115" customFormat="1"/>
    <row r="593" s="115" customFormat="1"/>
    <row r="594" s="115" customFormat="1"/>
    <row r="595" s="115" customFormat="1"/>
    <row r="596" s="115" customFormat="1"/>
    <row r="597" s="115" customFormat="1"/>
    <row r="598" s="115" customFormat="1"/>
    <row r="599" s="115" customFormat="1"/>
    <row r="600" s="115" customFormat="1"/>
    <row r="601" s="115" customFormat="1"/>
    <row r="602" s="115" customFormat="1"/>
    <row r="603" s="115" customFormat="1"/>
    <row r="604" s="115" customFormat="1"/>
    <row r="605" s="115" customFormat="1"/>
    <row r="606" s="115" customFormat="1"/>
    <row r="607" s="115" customFormat="1"/>
    <row r="608" s="115" customFormat="1"/>
    <row r="609" s="115" customFormat="1"/>
    <row r="610" s="115" customFormat="1"/>
    <row r="611" s="115" customFormat="1"/>
    <row r="612" s="115" customFormat="1"/>
    <row r="613" s="115" customFormat="1"/>
    <row r="614" s="115" customFormat="1"/>
    <row r="615" s="115" customFormat="1"/>
    <row r="616" s="115" customFormat="1"/>
    <row r="617" s="115" customFormat="1"/>
    <row r="618" s="115" customFormat="1"/>
    <row r="619" s="115" customFormat="1"/>
    <row r="620" s="115" customFormat="1"/>
    <row r="621" s="115" customFormat="1"/>
    <row r="622" s="115" customFormat="1"/>
    <row r="623" s="115" customFormat="1"/>
    <row r="624" s="115" customFormat="1"/>
    <row r="625" s="115" customFormat="1"/>
    <row r="626" s="115" customFormat="1"/>
    <row r="627" s="115" customFormat="1"/>
    <row r="628" s="115" customFormat="1"/>
    <row r="629" s="115" customFormat="1"/>
    <row r="630" s="115" customFormat="1"/>
    <row r="631" s="115" customFormat="1"/>
    <row r="632" s="115" customFormat="1"/>
    <row r="633" s="115" customFormat="1"/>
    <row r="634" s="115" customFormat="1"/>
    <row r="635" s="115" customFormat="1"/>
    <row r="636" s="115" customFormat="1"/>
    <row r="637" s="115" customFormat="1"/>
    <row r="638" s="115" customFormat="1"/>
    <row r="639" s="115" customFormat="1"/>
    <row r="640" s="115" customFormat="1"/>
    <row r="641" s="115" customFormat="1"/>
    <row r="642" s="115" customFormat="1"/>
    <row r="643" s="115" customFormat="1"/>
    <row r="644" s="115" customFormat="1"/>
    <row r="645" s="115" customFormat="1"/>
    <row r="646" s="115" customFormat="1"/>
    <row r="647" s="115" customFormat="1"/>
    <row r="648" s="115" customFormat="1"/>
    <row r="649" s="115" customFormat="1"/>
    <row r="650" s="115" customFormat="1"/>
    <row r="651" s="115" customFormat="1"/>
    <row r="652" s="115" customFormat="1"/>
    <row r="653" s="115" customFormat="1"/>
    <row r="654" s="115" customFormat="1"/>
    <row r="655" s="115" customFormat="1"/>
    <row r="656" s="115" customFormat="1"/>
    <row r="657" s="115" customFormat="1"/>
    <row r="658" s="115" customFormat="1"/>
    <row r="659" s="115" customFormat="1"/>
    <row r="660" s="115" customFormat="1"/>
    <row r="661" s="115" customFormat="1"/>
    <row r="662" s="115" customFormat="1"/>
    <row r="663" s="115" customFormat="1"/>
    <row r="664" s="115" customFormat="1"/>
    <row r="665" s="115" customFormat="1"/>
    <row r="666" s="115" customFormat="1"/>
    <row r="667" s="115" customFormat="1"/>
    <row r="668" s="115" customFormat="1"/>
    <row r="669" s="115" customFormat="1"/>
    <row r="670" s="115" customFormat="1"/>
    <row r="671" s="115" customFormat="1"/>
    <row r="672" s="115" customFormat="1"/>
    <row r="673" s="115" customFormat="1"/>
    <row r="674" s="115" customFormat="1"/>
    <row r="675" s="115" customFormat="1"/>
    <row r="676" s="115" customFormat="1"/>
    <row r="677" s="115" customFormat="1"/>
    <row r="678" s="115" customFormat="1"/>
    <row r="679" s="115" customFormat="1"/>
    <row r="680" s="115" customFormat="1"/>
    <row r="681" s="115" customFormat="1"/>
    <row r="682" s="115" customFormat="1"/>
    <row r="683" s="115" customFormat="1"/>
    <row r="684" s="115" customFormat="1"/>
    <row r="685" s="115" customFormat="1"/>
    <row r="686" s="115" customFormat="1"/>
    <row r="687" s="115" customFormat="1"/>
    <row r="688" s="115" customFormat="1"/>
    <row r="689" s="115" customFormat="1"/>
    <row r="690" s="115" customFormat="1"/>
    <row r="691" s="115" customFormat="1"/>
    <row r="692" s="115" customFormat="1"/>
    <row r="693" s="115" customFormat="1"/>
    <row r="694" s="115" customFormat="1"/>
    <row r="695" s="115" customFormat="1"/>
    <row r="696" s="115" customFormat="1"/>
    <row r="697" s="115" customFormat="1"/>
    <row r="698" s="115" customFormat="1"/>
    <row r="699" s="115" customFormat="1"/>
    <row r="700" s="115" customFormat="1"/>
    <row r="701" s="115" customFormat="1"/>
    <row r="702" s="115" customFormat="1"/>
    <row r="703" s="115" customFormat="1"/>
    <row r="704" s="115" customFormat="1"/>
    <row r="705" s="115" customFormat="1"/>
    <row r="706" s="115" customFormat="1"/>
    <row r="707" s="115" customFormat="1"/>
    <row r="708" s="115" customFormat="1"/>
    <row r="709" s="115" customFormat="1"/>
    <row r="710" s="115" customFormat="1"/>
    <row r="711" s="115" customFormat="1"/>
    <row r="712" s="115" customFormat="1"/>
    <row r="713" s="115" customFormat="1"/>
    <row r="714" s="115" customFormat="1"/>
    <row r="715" s="115" customFormat="1"/>
    <row r="716" s="115" customFormat="1"/>
    <row r="717" s="115" customFormat="1"/>
    <row r="718" s="115" customFormat="1"/>
    <row r="719" s="115" customFormat="1"/>
    <row r="720" s="115" customFormat="1"/>
    <row r="721" s="115" customFormat="1"/>
    <row r="722" s="115" customFormat="1"/>
    <row r="723" s="115" customFormat="1"/>
    <row r="724" s="115" customFormat="1"/>
    <row r="725" s="115" customFormat="1"/>
    <row r="726" s="115" customFormat="1"/>
    <row r="727" s="115" customFormat="1"/>
    <row r="728" s="115" customFormat="1"/>
    <row r="729" s="115" customFormat="1"/>
    <row r="730" s="115" customFormat="1"/>
    <row r="731" s="115" customFormat="1"/>
    <row r="732" s="115" customFormat="1"/>
    <row r="733" s="115" customFormat="1"/>
    <row r="734" s="115" customFormat="1"/>
    <row r="735" s="115" customFormat="1"/>
    <row r="736" s="115" customFormat="1"/>
    <row r="737" s="115" customFormat="1"/>
    <row r="738" s="115" customFormat="1"/>
    <row r="739" s="115" customFormat="1"/>
    <row r="740" s="115" customFormat="1"/>
    <row r="741" s="115" customFormat="1"/>
    <row r="742" s="115" customFormat="1"/>
    <row r="743" s="115" customFormat="1"/>
    <row r="744" s="115" customFormat="1"/>
    <row r="745" s="115" customFormat="1"/>
    <row r="746" s="115" customFormat="1"/>
    <row r="747" s="115" customFormat="1"/>
    <row r="748" s="115" customFormat="1"/>
    <row r="749" s="115" customFormat="1"/>
    <row r="750" s="115" customFormat="1"/>
    <row r="751" s="115" customFormat="1"/>
    <row r="752" s="115" customFormat="1"/>
    <row r="753" s="115" customFormat="1"/>
    <row r="754" s="115" customFormat="1"/>
    <row r="755" s="115" customFormat="1"/>
    <row r="756" s="115" customFormat="1"/>
    <row r="757" s="115" customFormat="1"/>
    <row r="758" s="115" customFormat="1"/>
    <row r="759" s="115" customFormat="1"/>
    <row r="760" s="115" customFormat="1"/>
    <row r="761" s="115" customFormat="1"/>
    <row r="762" s="115" customFormat="1"/>
    <row r="763" s="115" customFormat="1"/>
    <row r="764" s="115" customFormat="1"/>
    <row r="765" s="115" customFormat="1"/>
    <row r="766" s="115" customFormat="1"/>
    <row r="767" s="115" customFormat="1"/>
    <row r="768" s="115" customFormat="1"/>
    <row r="769" s="115" customFormat="1"/>
    <row r="770" s="115" customFormat="1"/>
    <row r="771" s="115" customFormat="1"/>
    <row r="772" s="115" customFormat="1"/>
    <row r="773" s="115" customFormat="1"/>
    <row r="774" s="115" customFormat="1"/>
    <row r="775" s="115" customFormat="1"/>
    <row r="776" s="115" customFormat="1"/>
    <row r="777" s="115" customFormat="1"/>
    <row r="778" s="115" customFormat="1"/>
    <row r="779" s="115" customFormat="1"/>
    <row r="780" s="115" customFormat="1"/>
    <row r="781" s="115" customFormat="1"/>
    <row r="782" s="115" customFormat="1"/>
    <row r="783" s="115" customFormat="1"/>
    <row r="784" s="115" customFormat="1"/>
    <row r="785" s="115" customFormat="1"/>
    <row r="786" s="115" customFormat="1"/>
    <row r="787" s="115" customFormat="1"/>
    <row r="788" s="115" customFormat="1"/>
    <row r="789" s="115" customFormat="1"/>
    <row r="790" s="115" customFormat="1"/>
    <row r="791" s="115" customFormat="1"/>
    <row r="792" s="115" customFormat="1"/>
    <row r="793" s="115" customFormat="1"/>
    <row r="794" s="115" customFormat="1"/>
    <row r="795" s="115" customFormat="1"/>
    <row r="796" s="115" customFormat="1"/>
    <row r="797" s="115" customFormat="1"/>
    <row r="798" s="115" customFormat="1"/>
    <row r="799" s="115" customFormat="1"/>
    <row r="800" s="115" customFormat="1"/>
    <row r="801" s="115" customFormat="1"/>
    <row r="802" s="115" customFormat="1"/>
    <row r="803" s="115" customFormat="1"/>
    <row r="804" s="115" customFormat="1"/>
    <row r="805" s="115" customFormat="1"/>
    <row r="806" s="115" customFormat="1"/>
    <row r="807" s="115" customFormat="1"/>
    <row r="808" s="115" customFormat="1"/>
    <row r="809" s="115" customFormat="1"/>
    <row r="810" s="115" customFormat="1"/>
    <row r="811" s="115" customFormat="1"/>
    <row r="812" s="115" customFormat="1"/>
    <row r="813" s="115" customFormat="1"/>
    <row r="814" s="115" customFormat="1"/>
    <row r="815" s="115" customFormat="1"/>
    <row r="816" s="115" customFormat="1"/>
    <row r="817" s="115" customFormat="1"/>
    <row r="818" s="115" customFormat="1"/>
    <row r="819" s="115" customFormat="1"/>
    <row r="820" s="115" customFormat="1"/>
    <row r="821" s="115" customFormat="1"/>
    <row r="822" s="115" customFormat="1"/>
    <row r="823" s="115" customFormat="1"/>
    <row r="824" s="115" customFormat="1"/>
    <row r="825" s="115" customFormat="1"/>
    <row r="826" s="115" customFormat="1"/>
    <row r="827" s="115" customFormat="1"/>
    <row r="828" s="115" customFormat="1"/>
    <row r="829" s="115" customFormat="1"/>
    <row r="830" s="115" customFormat="1"/>
    <row r="831" s="115" customFormat="1"/>
    <row r="832" s="115" customFormat="1"/>
    <row r="833" s="115" customFormat="1"/>
    <row r="834" s="115" customFormat="1"/>
    <row r="835" s="115" customFormat="1"/>
    <row r="836" s="115" customFormat="1"/>
    <row r="837" s="115" customFormat="1"/>
    <row r="838" s="115" customFormat="1"/>
    <row r="839" s="115" customFormat="1"/>
    <row r="840" s="115" customFormat="1"/>
    <row r="841" s="115" customFormat="1"/>
    <row r="842" s="115" customFormat="1"/>
    <row r="843" s="115" customFormat="1"/>
    <row r="844" s="115" customFormat="1"/>
    <row r="845" s="115" customFormat="1"/>
    <row r="846" s="115" customFormat="1"/>
    <row r="847" s="115" customFormat="1"/>
    <row r="848" s="115" customFormat="1"/>
    <row r="849" s="115" customFormat="1"/>
    <row r="850" s="115" customFormat="1"/>
    <row r="851" s="115" customFormat="1"/>
    <row r="852" s="115" customFormat="1"/>
    <row r="853" s="115" customFormat="1"/>
    <row r="854" s="115" customFormat="1"/>
    <row r="855" s="115" customFormat="1"/>
    <row r="856" s="115" customFormat="1"/>
    <row r="857" s="115" customFormat="1"/>
    <row r="858" s="115" customFormat="1"/>
    <row r="859" s="115" customFormat="1"/>
    <row r="860" s="115" customFormat="1"/>
    <row r="861" s="115" customFormat="1"/>
    <row r="862" s="115" customFormat="1"/>
    <row r="863" s="115" customFormat="1"/>
    <row r="864" s="115" customFormat="1"/>
    <row r="865" s="115" customFormat="1"/>
    <row r="866" s="115" customFormat="1"/>
    <row r="867" s="115" customFormat="1"/>
    <row r="868" s="115" customFormat="1"/>
    <row r="869" s="115" customFormat="1"/>
    <row r="870" s="115" customFormat="1"/>
    <row r="871" s="115" customFormat="1"/>
    <row r="872" s="115" customFormat="1"/>
    <row r="873" s="115" customFormat="1"/>
    <row r="874" s="115" customFormat="1"/>
    <row r="875" s="115" customFormat="1"/>
    <row r="876" s="115" customFormat="1"/>
    <row r="877" s="115" customFormat="1"/>
    <row r="878" s="115" customFormat="1"/>
    <row r="879" s="115" customFormat="1"/>
    <row r="880" s="115" customFormat="1"/>
    <row r="881" s="115" customFormat="1"/>
    <row r="882" s="115" customFormat="1"/>
    <row r="883" s="115" customFormat="1"/>
    <row r="884" s="115" customFormat="1"/>
    <row r="885" s="115" customFormat="1"/>
    <row r="886" s="115" customFormat="1"/>
    <row r="887" s="115" customFormat="1"/>
    <row r="888" s="115" customFormat="1"/>
    <row r="889" s="115" customFormat="1"/>
    <row r="890" s="115" customFormat="1"/>
    <row r="891" s="115" customFormat="1"/>
    <row r="892" s="115" customFormat="1"/>
    <row r="893" s="115" customFormat="1"/>
    <row r="894" s="115" customFormat="1"/>
    <row r="895" s="115" customFormat="1"/>
    <row r="896" s="115" customFormat="1"/>
    <row r="897" s="115" customFormat="1"/>
    <row r="898" s="115" customFormat="1"/>
    <row r="899" s="115" customFormat="1"/>
    <row r="900" s="115" customFormat="1"/>
    <row r="901" s="115" customFormat="1"/>
    <row r="902" s="115" customFormat="1"/>
    <row r="903" s="115" customFormat="1"/>
    <row r="904" s="115" customFormat="1"/>
    <row r="905" s="115" customFormat="1"/>
    <row r="906" s="115" customFormat="1"/>
    <row r="907" s="115" customFormat="1"/>
    <row r="908" s="115" customFormat="1"/>
    <row r="909" s="115" customFormat="1"/>
    <row r="910" s="115" customFormat="1"/>
    <row r="911" s="115" customFormat="1"/>
    <row r="912" s="115" customFormat="1"/>
    <row r="913" s="115" customFormat="1"/>
    <row r="914" s="115" customFormat="1"/>
    <row r="915" s="115" customFormat="1"/>
    <row r="916" s="115" customFormat="1"/>
    <row r="917" s="115" customFormat="1"/>
    <row r="918" s="115" customFormat="1"/>
    <row r="919" s="115" customFormat="1"/>
    <row r="920" s="115" customFormat="1"/>
    <row r="921" s="115" customFormat="1"/>
    <row r="922" s="115" customFormat="1"/>
    <row r="923" s="115" customFormat="1"/>
    <row r="924" s="115" customFormat="1"/>
    <row r="925" s="115" customFormat="1"/>
    <row r="926" s="115" customFormat="1"/>
    <row r="927" s="115" customFormat="1"/>
    <row r="928" s="115" customFormat="1"/>
    <row r="929" s="115" customFormat="1"/>
    <row r="930" s="115" customFormat="1"/>
    <row r="931" s="115" customFormat="1"/>
    <row r="932" s="115" customFormat="1"/>
    <row r="933" s="115" customFormat="1"/>
    <row r="934" s="115" customFormat="1"/>
    <row r="935" s="115" customFormat="1"/>
    <row r="936" s="115" customFormat="1"/>
    <row r="937" s="115" customFormat="1"/>
    <row r="938" s="115" customFormat="1"/>
    <row r="939" s="115" customFormat="1"/>
    <row r="940" s="115" customFormat="1"/>
    <row r="941" s="115" customFormat="1"/>
    <row r="942" s="115" customFormat="1"/>
    <row r="943" s="115" customFormat="1"/>
    <row r="944" s="115" customFormat="1"/>
    <row r="945" s="115" customFormat="1"/>
    <row r="946" s="115" customFormat="1"/>
    <row r="947" s="115" customFormat="1"/>
    <row r="948" s="115" customFormat="1"/>
    <row r="949" s="115" customFormat="1"/>
    <row r="950" s="115" customFormat="1"/>
    <row r="951" s="115" customFormat="1"/>
    <row r="952" s="115" customFormat="1"/>
    <row r="953" s="115" customFormat="1"/>
    <row r="954" s="115" customFormat="1"/>
    <row r="955" s="115" customFormat="1"/>
    <row r="956" s="115" customFormat="1"/>
    <row r="957" s="115" customFormat="1"/>
    <row r="958" s="115" customFormat="1"/>
    <row r="959" s="115" customFormat="1"/>
    <row r="960" s="115" customFormat="1"/>
    <row r="961" s="115" customFormat="1"/>
    <row r="962" s="115" customFormat="1"/>
    <row r="963" s="115" customFormat="1"/>
    <row r="964" s="115" customFormat="1"/>
    <row r="965" s="115" customFormat="1"/>
    <row r="966" s="115" customFormat="1"/>
    <row r="967" s="115" customFormat="1"/>
    <row r="968" s="115" customFormat="1"/>
    <row r="969" s="115" customFormat="1"/>
    <row r="970" s="115" customFormat="1"/>
    <row r="971" s="115" customFormat="1"/>
    <row r="972" s="115" customFormat="1"/>
    <row r="973" s="115" customFormat="1"/>
    <row r="974" s="115" customFormat="1"/>
    <row r="975" s="115" customFormat="1"/>
    <row r="976" s="115" customFormat="1"/>
    <row r="977" s="115" customFormat="1"/>
    <row r="978" s="115" customFormat="1"/>
    <row r="979" s="115" customFormat="1"/>
    <row r="980" s="115" customFormat="1"/>
    <row r="981" s="115" customFormat="1"/>
    <row r="982" s="115" customFormat="1"/>
    <row r="983" s="115" customFormat="1"/>
    <row r="984" s="115" customFormat="1"/>
    <row r="985" s="115" customFormat="1"/>
    <row r="986" s="115" customFormat="1"/>
    <row r="987" s="115" customFormat="1"/>
    <row r="988" s="115" customFormat="1"/>
    <row r="989" s="115" customFormat="1"/>
    <row r="990" s="115" customFormat="1"/>
    <row r="991" s="115" customFormat="1"/>
    <row r="992" s="115" customFormat="1"/>
    <row r="993" s="115" customFormat="1"/>
    <row r="994" s="115" customFormat="1"/>
    <row r="995" s="115" customFormat="1"/>
    <row r="996" s="115" customFormat="1"/>
    <row r="997" s="115" customFormat="1"/>
  </sheetData>
  <mergeCells count="18">
    <mergeCell ref="C18:C19"/>
    <mergeCell ref="C3:C4"/>
    <mergeCell ref="AA18:AA19"/>
    <mergeCell ref="A46:C46"/>
    <mergeCell ref="A53:C53"/>
    <mergeCell ref="Z3:Z4"/>
    <mergeCell ref="A18:A19"/>
    <mergeCell ref="B18:B19"/>
    <mergeCell ref="D18:D19"/>
    <mergeCell ref="E18:E19"/>
    <mergeCell ref="F18:I18"/>
    <mergeCell ref="Z18:Z19"/>
    <mergeCell ref="A3:A4"/>
    <mergeCell ref="B3:B4"/>
    <mergeCell ref="D3:D4"/>
    <mergeCell ref="E3:E4"/>
    <mergeCell ref="F3:I3"/>
    <mergeCell ref="Y3:Y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50935-50C8-489C-884B-E83FAF89AA6B}">
  <dimension ref="A1:AI997"/>
  <sheetViews>
    <sheetView zoomScaleNormal="100" workbookViewId="0">
      <selection activeCell="C3" sqref="C3:C15"/>
    </sheetView>
  </sheetViews>
  <sheetFormatPr defaultColWidth="12.453125" defaultRowHeight="13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69" t="s">
        <v>1</v>
      </c>
      <c r="B3" s="269" t="s">
        <v>2</v>
      </c>
      <c r="C3" s="280" t="s">
        <v>54</v>
      </c>
      <c r="D3" s="269" t="s">
        <v>3</v>
      </c>
      <c r="E3" s="269" t="s">
        <v>4</v>
      </c>
      <c r="F3" s="271" t="s">
        <v>5</v>
      </c>
      <c r="G3" s="270"/>
      <c r="H3" s="270"/>
      <c r="I3" s="270"/>
      <c r="J3" s="141">
        <f>C1</f>
        <v>46023</v>
      </c>
      <c r="K3" s="141">
        <f t="shared" ref="K3:X3" si="0">J3+1</f>
        <v>46024</v>
      </c>
      <c r="L3" s="141">
        <f t="shared" si="0"/>
        <v>46025</v>
      </c>
      <c r="M3" s="141">
        <f t="shared" si="0"/>
        <v>46026</v>
      </c>
      <c r="N3" s="141">
        <f t="shared" si="0"/>
        <v>46027</v>
      </c>
      <c r="O3" s="141">
        <f t="shared" si="0"/>
        <v>46028</v>
      </c>
      <c r="P3" s="141">
        <f t="shared" si="0"/>
        <v>46029</v>
      </c>
      <c r="Q3" s="141">
        <f t="shared" si="0"/>
        <v>46030</v>
      </c>
      <c r="R3" s="141">
        <f t="shared" si="0"/>
        <v>46031</v>
      </c>
      <c r="S3" s="141">
        <f t="shared" si="0"/>
        <v>46032</v>
      </c>
      <c r="T3" s="141">
        <f t="shared" si="0"/>
        <v>46033</v>
      </c>
      <c r="U3" s="141">
        <f t="shared" si="0"/>
        <v>46034</v>
      </c>
      <c r="V3" s="141">
        <f t="shared" si="0"/>
        <v>46035</v>
      </c>
      <c r="W3" s="141">
        <f t="shared" si="0"/>
        <v>46036</v>
      </c>
      <c r="X3" s="141">
        <f t="shared" si="0"/>
        <v>46037</v>
      </c>
      <c r="Y3" s="269" t="s">
        <v>6</v>
      </c>
      <c r="Z3" s="269" t="s">
        <v>7</v>
      </c>
      <c r="AA3" s="209"/>
      <c r="AB3" s="210"/>
      <c r="AC3" s="114"/>
    </row>
    <row r="4" spans="1:35" ht="27" customHeight="1" thickBot="1">
      <c r="A4" s="270"/>
      <c r="B4" s="270"/>
      <c r="C4" s="270"/>
      <c r="D4" s="270"/>
      <c r="E4" s="270"/>
      <c r="F4" s="219" t="s">
        <v>8</v>
      </c>
      <c r="G4" s="220" t="s">
        <v>9</v>
      </c>
      <c r="H4" s="165" t="s">
        <v>10</v>
      </c>
      <c r="I4" s="165" t="s">
        <v>11</v>
      </c>
      <c r="J4" s="221" t="str">
        <f t="shared" ref="J4:X4" si="1">IF(J3="","",TEXT(WEEKDAY(J3), "ddd"))</f>
        <v>Thu</v>
      </c>
      <c r="K4" s="127" t="str">
        <f t="shared" si="1"/>
        <v>Fri</v>
      </c>
      <c r="L4" s="127" t="str">
        <f t="shared" si="1"/>
        <v>Sat</v>
      </c>
      <c r="M4" s="222" t="str">
        <f t="shared" si="1"/>
        <v>Sun</v>
      </c>
      <c r="N4" s="222" t="str">
        <f t="shared" si="1"/>
        <v>Mon</v>
      </c>
      <c r="O4" s="221" t="str">
        <f t="shared" si="1"/>
        <v>Tue</v>
      </c>
      <c r="P4" s="221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22" t="str">
        <f t="shared" si="1"/>
        <v>Thu</v>
      </c>
      <c r="Y4" s="270"/>
      <c r="Z4" s="270"/>
      <c r="AA4" s="209"/>
      <c r="AB4" s="240" t="s">
        <v>12</v>
      </c>
      <c r="AC4" s="238"/>
      <c r="AD4" s="130"/>
      <c r="AE4" s="130"/>
      <c r="AF4" s="130"/>
      <c r="AG4" s="130"/>
      <c r="AH4" s="130"/>
    </row>
    <row r="5" spans="1:35" ht="12.75" customHeight="1">
      <c r="A5" s="131" t="s">
        <v>40</v>
      </c>
      <c r="B5" s="132" t="s">
        <v>47</v>
      </c>
      <c r="C5" s="281" t="s">
        <v>55</v>
      </c>
      <c r="D5" s="133">
        <v>43437</v>
      </c>
      <c r="E5" s="134">
        <f t="shared" ref="E5:E10" si="2">F5</f>
        <v>88</v>
      </c>
      <c r="F5" s="134">
        <f t="shared" ref="F5:F10" si="3">Z5*8</f>
        <v>88</v>
      </c>
      <c r="G5" s="134">
        <f t="shared" ref="G5:G10" si="4">H5+I5</f>
        <v>80</v>
      </c>
      <c r="H5" s="134">
        <f t="shared" ref="H5:H10" si="5">SUM(J5:X5)</f>
        <v>80</v>
      </c>
      <c r="I5" s="135">
        <v>0</v>
      </c>
      <c r="J5" s="140">
        <v>8</v>
      </c>
      <c r="K5" s="183">
        <v>8</v>
      </c>
      <c r="L5" s="245" t="s">
        <v>39</v>
      </c>
      <c r="M5" s="245" t="s">
        <v>39</v>
      </c>
      <c r="N5" s="183">
        <v>8</v>
      </c>
      <c r="O5" s="140">
        <v>8</v>
      </c>
      <c r="P5" s="140">
        <v>8</v>
      </c>
      <c r="Q5" s="236"/>
      <c r="R5" s="183">
        <v>8</v>
      </c>
      <c r="S5" s="245" t="s">
        <v>39</v>
      </c>
      <c r="T5" s="245" t="s">
        <v>39</v>
      </c>
      <c r="U5" s="207">
        <v>8</v>
      </c>
      <c r="V5" s="140">
        <v>8</v>
      </c>
      <c r="W5" s="140">
        <v>8</v>
      </c>
      <c r="X5" s="140">
        <v>8</v>
      </c>
      <c r="Y5" s="134">
        <v>1</v>
      </c>
      <c r="Z5" s="136">
        <v>11</v>
      </c>
      <c r="AA5" s="209"/>
      <c r="AB5" s="239" t="s">
        <v>15</v>
      </c>
      <c r="AC5" s="130"/>
      <c r="AD5" s="130"/>
      <c r="AE5" s="130"/>
      <c r="AF5" s="130"/>
      <c r="AG5" s="130"/>
      <c r="AH5" s="130"/>
    </row>
    <row r="6" spans="1:35" ht="12.75" customHeight="1">
      <c r="A6" s="131" t="s">
        <v>41</v>
      </c>
      <c r="B6" s="132" t="s">
        <v>47</v>
      </c>
      <c r="C6" s="281" t="s">
        <v>56</v>
      </c>
      <c r="D6" s="133">
        <v>45028</v>
      </c>
      <c r="E6" s="134">
        <f t="shared" si="2"/>
        <v>88</v>
      </c>
      <c r="F6" s="134">
        <f t="shared" si="3"/>
        <v>88</v>
      </c>
      <c r="G6" s="134">
        <f t="shared" si="4"/>
        <v>88</v>
      </c>
      <c r="H6" s="134">
        <f t="shared" si="5"/>
        <v>88</v>
      </c>
      <c r="I6" s="135">
        <v>0</v>
      </c>
      <c r="J6" s="140">
        <v>8</v>
      </c>
      <c r="K6" s="183">
        <v>8</v>
      </c>
      <c r="L6" s="245" t="s">
        <v>39</v>
      </c>
      <c r="M6" s="245" t="s">
        <v>39</v>
      </c>
      <c r="N6" s="183">
        <v>8</v>
      </c>
      <c r="O6" s="140">
        <v>8</v>
      </c>
      <c r="P6" s="140">
        <v>8</v>
      </c>
      <c r="Q6" s="140">
        <v>8</v>
      </c>
      <c r="R6" s="183">
        <v>8</v>
      </c>
      <c r="S6" s="245" t="s">
        <v>39</v>
      </c>
      <c r="T6" s="245" t="s">
        <v>39</v>
      </c>
      <c r="U6" s="183">
        <v>8</v>
      </c>
      <c r="V6" s="140">
        <v>8</v>
      </c>
      <c r="W6" s="140">
        <v>8</v>
      </c>
      <c r="X6" s="140">
        <v>8</v>
      </c>
      <c r="Y6" s="134"/>
      <c r="Z6" s="136">
        <v>11</v>
      </c>
      <c r="AA6" s="209"/>
      <c r="AB6" s="237" t="s">
        <v>6</v>
      </c>
      <c r="AC6" s="130"/>
      <c r="AD6" s="130"/>
      <c r="AE6" s="130"/>
      <c r="AF6" s="130"/>
      <c r="AG6" s="130"/>
      <c r="AH6" s="130"/>
    </row>
    <row r="7" spans="1:35" ht="12.75" customHeight="1">
      <c r="A7" s="131" t="s">
        <v>42</v>
      </c>
      <c r="B7" s="132" t="s">
        <v>47</v>
      </c>
      <c r="C7" s="281" t="s">
        <v>57</v>
      </c>
      <c r="D7" s="133">
        <v>43395</v>
      </c>
      <c r="E7" s="134">
        <f t="shared" si="2"/>
        <v>88</v>
      </c>
      <c r="F7" s="134">
        <f t="shared" si="3"/>
        <v>88</v>
      </c>
      <c r="G7" s="134">
        <f t="shared" si="4"/>
        <v>88</v>
      </c>
      <c r="H7" s="134">
        <f t="shared" si="5"/>
        <v>88</v>
      </c>
      <c r="I7" s="135">
        <v>0</v>
      </c>
      <c r="J7" s="140">
        <v>8</v>
      </c>
      <c r="K7" s="183">
        <v>8</v>
      </c>
      <c r="L7" s="245" t="s">
        <v>39</v>
      </c>
      <c r="M7" s="245" t="s">
        <v>39</v>
      </c>
      <c r="N7" s="183">
        <v>8</v>
      </c>
      <c r="O7" s="140">
        <v>8</v>
      </c>
      <c r="P7" s="140">
        <v>8</v>
      </c>
      <c r="Q7" s="140">
        <v>8</v>
      </c>
      <c r="R7" s="183">
        <v>8</v>
      </c>
      <c r="S7" s="245" t="s">
        <v>39</v>
      </c>
      <c r="T7" s="245" t="s">
        <v>39</v>
      </c>
      <c r="U7" s="140">
        <v>8</v>
      </c>
      <c r="V7" s="140">
        <v>8</v>
      </c>
      <c r="W7" s="140">
        <v>8</v>
      </c>
      <c r="X7" s="140">
        <v>8</v>
      </c>
      <c r="Y7" s="134"/>
      <c r="Z7" s="136">
        <v>11</v>
      </c>
      <c r="AA7" s="209"/>
      <c r="AB7" s="202" t="s">
        <v>18</v>
      </c>
      <c r="AC7" s="130"/>
      <c r="AD7" s="130"/>
      <c r="AE7" s="130"/>
      <c r="AF7" s="130"/>
      <c r="AG7" s="130"/>
      <c r="AH7" s="130"/>
    </row>
    <row r="8" spans="1:35" ht="12.75" customHeight="1">
      <c r="A8" s="131" t="s">
        <v>43</v>
      </c>
      <c r="B8" s="132" t="s">
        <v>47</v>
      </c>
      <c r="C8" s="281" t="s">
        <v>56</v>
      </c>
      <c r="D8" s="138">
        <v>43741</v>
      </c>
      <c r="E8" s="134">
        <f t="shared" si="2"/>
        <v>88</v>
      </c>
      <c r="F8" s="134">
        <f t="shared" si="3"/>
        <v>88</v>
      </c>
      <c r="G8" s="134">
        <f t="shared" si="4"/>
        <v>88</v>
      </c>
      <c r="H8" s="134">
        <f t="shared" si="5"/>
        <v>88</v>
      </c>
      <c r="I8" s="135">
        <v>0</v>
      </c>
      <c r="J8" s="140">
        <v>8</v>
      </c>
      <c r="K8" s="183">
        <v>8</v>
      </c>
      <c r="L8" s="245" t="s">
        <v>39</v>
      </c>
      <c r="M8" s="245" t="s">
        <v>39</v>
      </c>
      <c r="N8" s="243">
        <v>8</v>
      </c>
      <c r="O8" s="140">
        <v>8</v>
      </c>
      <c r="P8" s="140">
        <v>8</v>
      </c>
      <c r="Q8" s="140">
        <v>8</v>
      </c>
      <c r="R8" s="183">
        <v>8</v>
      </c>
      <c r="S8" s="245" t="s">
        <v>39</v>
      </c>
      <c r="T8" s="245" t="s">
        <v>39</v>
      </c>
      <c r="U8" s="183">
        <v>8</v>
      </c>
      <c r="V8" s="140">
        <v>8</v>
      </c>
      <c r="W8" s="140">
        <v>8</v>
      </c>
      <c r="X8" s="140">
        <v>8</v>
      </c>
      <c r="Y8" s="134"/>
      <c r="Z8" s="136">
        <v>11</v>
      </c>
      <c r="AA8" s="209"/>
      <c r="AB8" s="114"/>
      <c r="AC8" s="130"/>
      <c r="AD8" s="130"/>
      <c r="AE8" s="130"/>
      <c r="AF8" s="130"/>
      <c r="AG8" s="130"/>
      <c r="AH8" s="130"/>
    </row>
    <row r="9" spans="1:35" ht="12.75" customHeight="1">
      <c r="A9" s="139" t="s">
        <v>44</v>
      </c>
      <c r="B9" s="132" t="s">
        <v>47</v>
      </c>
      <c r="C9" s="281" t="s">
        <v>58</v>
      </c>
      <c r="D9" s="138">
        <v>43731</v>
      </c>
      <c r="E9" s="134">
        <v>44</v>
      </c>
      <c r="F9" s="134">
        <v>44</v>
      </c>
      <c r="G9" s="134">
        <f t="shared" si="4"/>
        <v>44</v>
      </c>
      <c r="H9" s="134">
        <f t="shared" si="5"/>
        <v>44</v>
      </c>
      <c r="I9" s="135">
        <v>0</v>
      </c>
      <c r="J9" s="140">
        <v>4</v>
      </c>
      <c r="K9" s="241">
        <v>4</v>
      </c>
      <c r="L9" s="245" t="s">
        <v>39</v>
      </c>
      <c r="M9" s="245" t="s">
        <v>39</v>
      </c>
      <c r="N9" s="183">
        <v>4</v>
      </c>
      <c r="O9" s="140">
        <v>4</v>
      </c>
      <c r="P9" s="140">
        <v>4</v>
      </c>
      <c r="Q9" s="140">
        <v>4</v>
      </c>
      <c r="R9" s="183">
        <v>4</v>
      </c>
      <c r="S9" s="245" t="s">
        <v>39</v>
      </c>
      <c r="T9" s="245" t="s">
        <v>39</v>
      </c>
      <c r="U9" s="183">
        <v>4</v>
      </c>
      <c r="V9" s="140">
        <v>4</v>
      </c>
      <c r="W9" s="140">
        <v>4</v>
      </c>
      <c r="X9" s="140">
        <v>4</v>
      </c>
      <c r="Y9" s="134"/>
      <c r="Z9" s="136">
        <v>11</v>
      </c>
      <c r="AA9" s="209"/>
      <c r="AB9" s="114"/>
      <c r="AC9" s="130"/>
      <c r="AD9" s="130"/>
      <c r="AE9" s="130"/>
      <c r="AF9" s="130"/>
      <c r="AG9" s="130"/>
      <c r="AH9" s="130"/>
    </row>
    <row r="10" spans="1:35" ht="12.75" customHeight="1">
      <c r="A10" s="139" t="s">
        <v>45</v>
      </c>
      <c r="B10" s="132" t="s">
        <v>47</v>
      </c>
      <c r="C10" s="281" t="s">
        <v>59</v>
      </c>
      <c r="D10" s="138">
        <v>45628</v>
      </c>
      <c r="E10" s="134">
        <f t="shared" si="2"/>
        <v>88</v>
      </c>
      <c r="F10" s="134">
        <f t="shared" si="3"/>
        <v>88</v>
      </c>
      <c r="G10" s="134">
        <f t="shared" si="4"/>
        <v>88</v>
      </c>
      <c r="H10" s="134">
        <f t="shared" si="5"/>
        <v>88</v>
      </c>
      <c r="I10" s="135">
        <v>0</v>
      </c>
      <c r="J10" s="140">
        <v>8</v>
      </c>
      <c r="K10" s="241">
        <v>8</v>
      </c>
      <c r="L10" s="245" t="s">
        <v>39</v>
      </c>
      <c r="M10" s="245" t="s">
        <v>39</v>
      </c>
      <c r="N10" s="241">
        <v>8</v>
      </c>
      <c r="O10" s="140">
        <v>8</v>
      </c>
      <c r="P10" s="140">
        <v>8</v>
      </c>
      <c r="Q10" s="140">
        <v>8</v>
      </c>
      <c r="R10" s="241">
        <v>8</v>
      </c>
      <c r="S10" s="245" t="s">
        <v>39</v>
      </c>
      <c r="T10" s="245" t="s">
        <v>39</v>
      </c>
      <c r="U10" s="241">
        <v>8</v>
      </c>
      <c r="V10" s="140">
        <v>8</v>
      </c>
      <c r="W10" s="140">
        <v>8</v>
      </c>
      <c r="X10" s="140">
        <v>8</v>
      </c>
      <c r="Y10" s="134"/>
      <c r="Z10" s="136">
        <v>11</v>
      </c>
      <c r="AA10" s="209"/>
      <c r="AB10" s="114"/>
      <c r="AC10" s="130"/>
      <c r="AD10" s="130"/>
      <c r="AE10" s="130"/>
      <c r="AF10" s="130"/>
      <c r="AG10" s="130"/>
      <c r="AH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>
        <v>8</v>
      </c>
      <c r="P11" s="140"/>
      <c r="Q11" s="140"/>
      <c r="R11" s="140"/>
      <c r="S11" s="140"/>
      <c r="T11" s="140"/>
      <c r="U11" s="140"/>
      <c r="V11" s="140"/>
      <c r="W11" s="140"/>
      <c r="X11" s="140"/>
      <c r="Y11" s="134">
        <f t="shared" ref="Y11:Y14" si="6">Z11-COUNTA(J11:X11)</f>
        <v>9</v>
      </c>
      <c r="Z11" s="135">
        <f t="shared" ref="Z11:Z14" si="7">NETWORKDAYS($J$3,$X$3,$X$3)</f>
        <v>10</v>
      </c>
      <c r="AA11" s="209"/>
      <c r="AB11" s="114"/>
      <c r="AC11" s="130"/>
      <c r="AD11" s="130"/>
      <c r="AE11" s="130"/>
      <c r="AF11" s="130"/>
      <c r="AG11" s="130"/>
      <c r="AH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>
        <v>8</v>
      </c>
      <c r="P12" s="140"/>
      <c r="Q12" s="140"/>
      <c r="R12" s="140"/>
      <c r="S12" s="140"/>
      <c r="T12" s="140"/>
      <c r="U12" s="140"/>
      <c r="V12" s="140"/>
      <c r="W12" s="140"/>
      <c r="X12" s="140"/>
      <c r="Y12" s="134">
        <f t="shared" si="6"/>
        <v>9</v>
      </c>
      <c r="Z12" s="135">
        <f t="shared" si="7"/>
        <v>10</v>
      </c>
      <c r="AA12" s="209"/>
      <c r="AB12" s="114"/>
      <c r="AC12" s="130"/>
      <c r="AD12" s="130"/>
      <c r="AE12" s="130"/>
      <c r="AF12" s="130"/>
      <c r="AG12" s="130"/>
      <c r="AH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>
        <v>8</v>
      </c>
      <c r="P13" s="140"/>
      <c r="Q13" s="140"/>
      <c r="R13" s="140"/>
      <c r="S13" s="140"/>
      <c r="T13" s="140"/>
      <c r="U13" s="140"/>
      <c r="V13" s="140"/>
      <c r="W13" s="140"/>
      <c r="X13" s="140"/>
      <c r="Y13" s="134">
        <f t="shared" si="6"/>
        <v>9</v>
      </c>
      <c r="Z13" s="135">
        <f t="shared" si="7"/>
        <v>10</v>
      </c>
      <c r="AA13" s="209"/>
      <c r="AB13" s="114"/>
      <c r="AC13" s="130"/>
      <c r="AD13" s="130"/>
      <c r="AE13" s="130"/>
      <c r="AF13" s="130"/>
      <c r="AG13" s="130"/>
      <c r="AH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>
        <v>8</v>
      </c>
      <c r="P14" s="140"/>
      <c r="Q14" s="140"/>
      <c r="R14" s="140"/>
      <c r="S14" s="140"/>
      <c r="T14" s="140"/>
      <c r="U14" s="140"/>
      <c r="V14" s="140"/>
      <c r="W14" s="140"/>
      <c r="X14" s="140"/>
      <c r="Y14" s="134">
        <f t="shared" si="6"/>
        <v>9</v>
      </c>
      <c r="Z14" s="135">
        <f t="shared" si="7"/>
        <v>10</v>
      </c>
      <c r="AA14" s="209"/>
      <c r="AB14" s="114"/>
      <c r="AC14" s="130"/>
      <c r="AD14" s="130"/>
      <c r="AE14" s="130"/>
      <c r="AF14" s="130"/>
      <c r="AG14" s="130"/>
      <c r="AH14" s="130"/>
    </row>
    <row r="15" spans="1:35" ht="12.75" customHeight="1">
      <c r="A15" s="223"/>
      <c r="B15" s="223"/>
      <c r="C15" s="229"/>
      <c r="D15" s="223"/>
      <c r="E15" s="224">
        <f t="shared" ref="E15:X15" si="8">SUM(E5:E14)</f>
        <v>484</v>
      </c>
      <c r="F15" s="224">
        <f t="shared" si="8"/>
        <v>484</v>
      </c>
      <c r="G15" s="224">
        <f t="shared" si="8"/>
        <v>476</v>
      </c>
      <c r="H15" s="224">
        <f t="shared" si="8"/>
        <v>476</v>
      </c>
      <c r="I15" s="224">
        <f t="shared" si="8"/>
        <v>0</v>
      </c>
      <c r="J15" s="224">
        <f t="shared" si="8"/>
        <v>44</v>
      </c>
      <c r="K15" s="224">
        <f t="shared" si="8"/>
        <v>44</v>
      </c>
      <c r="L15" s="224">
        <f t="shared" si="8"/>
        <v>0</v>
      </c>
      <c r="M15" s="224">
        <f t="shared" si="8"/>
        <v>0</v>
      </c>
      <c r="N15" s="224">
        <f t="shared" si="8"/>
        <v>44</v>
      </c>
      <c r="O15" s="224">
        <f t="shared" si="8"/>
        <v>76</v>
      </c>
      <c r="P15" s="224">
        <f t="shared" si="8"/>
        <v>44</v>
      </c>
      <c r="Q15" s="224">
        <f t="shared" si="8"/>
        <v>36</v>
      </c>
      <c r="R15" s="224">
        <f t="shared" si="8"/>
        <v>44</v>
      </c>
      <c r="S15" s="224">
        <f t="shared" si="8"/>
        <v>0</v>
      </c>
      <c r="T15" s="224">
        <f t="shared" si="8"/>
        <v>0</v>
      </c>
      <c r="U15" s="224">
        <f t="shared" si="8"/>
        <v>44</v>
      </c>
      <c r="V15" s="224">
        <f t="shared" si="8"/>
        <v>44</v>
      </c>
      <c r="W15" s="224">
        <f t="shared" si="8"/>
        <v>44</v>
      </c>
      <c r="X15" s="224">
        <f t="shared" si="8"/>
        <v>44</v>
      </c>
      <c r="Y15" s="224"/>
      <c r="Z15" s="224"/>
      <c r="AA15" s="209"/>
      <c r="AB15" s="114"/>
      <c r="AC15" s="130"/>
      <c r="AD15" s="130"/>
      <c r="AE15" s="130"/>
      <c r="AF15" s="130"/>
      <c r="AG15" s="130"/>
      <c r="AH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9" t="s">
        <v>1</v>
      </c>
      <c r="B18" s="269" t="s">
        <v>2</v>
      </c>
      <c r="C18" s="280" t="s">
        <v>54</v>
      </c>
      <c r="D18" s="269" t="s">
        <v>3</v>
      </c>
      <c r="E18" s="269" t="s">
        <v>4</v>
      </c>
      <c r="F18" s="271" t="s">
        <v>5</v>
      </c>
      <c r="G18" s="270"/>
      <c r="H18" s="270"/>
      <c r="I18" s="270"/>
      <c r="J18" s="141">
        <f>X3+1</f>
        <v>46038</v>
      </c>
      <c r="K18" s="141">
        <f t="shared" ref="K18:V18" si="9">J18+1</f>
        <v>46039</v>
      </c>
      <c r="L18" s="141">
        <f t="shared" si="9"/>
        <v>46040</v>
      </c>
      <c r="M18" s="141">
        <f t="shared" si="9"/>
        <v>46041</v>
      </c>
      <c r="N18" s="141">
        <f t="shared" si="9"/>
        <v>46042</v>
      </c>
      <c r="O18" s="141">
        <f t="shared" si="9"/>
        <v>46043</v>
      </c>
      <c r="P18" s="141">
        <f t="shared" si="9"/>
        <v>46044</v>
      </c>
      <c r="Q18" s="141">
        <f t="shared" si="9"/>
        <v>46045</v>
      </c>
      <c r="R18" s="141">
        <f t="shared" si="9"/>
        <v>46046</v>
      </c>
      <c r="S18" s="141">
        <f t="shared" si="9"/>
        <v>46047</v>
      </c>
      <c r="T18" s="141">
        <f t="shared" si="9"/>
        <v>46048</v>
      </c>
      <c r="U18" s="141">
        <f t="shared" si="9"/>
        <v>46049</v>
      </c>
      <c r="V18" s="141">
        <f t="shared" si="9"/>
        <v>46050</v>
      </c>
      <c r="W18" s="141">
        <f>V18+1</f>
        <v>46051</v>
      </c>
      <c r="X18" s="141">
        <f>W18+1</f>
        <v>46052</v>
      </c>
      <c r="Y18" s="141">
        <f>X18+1</f>
        <v>46053</v>
      </c>
      <c r="Z18" s="269" t="s">
        <v>6</v>
      </c>
      <c r="AA18" s="269" t="s">
        <v>7</v>
      </c>
      <c r="AB18" s="209"/>
      <c r="AC18" s="114"/>
    </row>
    <row r="19" spans="1:29" ht="26.25" customHeight="1">
      <c r="A19" s="270"/>
      <c r="B19" s="270"/>
      <c r="C19" s="270"/>
      <c r="D19" s="270"/>
      <c r="E19" s="270"/>
      <c r="F19" s="219" t="s">
        <v>8</v>
      </c>
      <c r="G19" s="220" t="s">
        <v>9</v>
      </c>
      <c r="H19" s="165" t="s">
        <v>10</v>
      </c>
      <c r="I19" s="165" t="s">
        <v>11</v>
      </c>
      <c r="J19" s="222" t="str">
        <f t="shared" ref="J19:V19" si="10">IF(J18="","",TEXT(WEEKDAY(J18), "ddd"))</f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222" t="str">
        <f t="shared" si="10"/>
        <v>Thu</v>
      </c>
      <c r="Q19" s="127" t="str">
        <f t="shared" si="10"/>
        <v>Fri</v>
      </c>
      <c r="R19" s="127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222" t="s">
        <v>51</v>
      </c>
      <c r="X19" s="222" t="s">
        <v>52</v>
      </c>
      <c r="Y19" s="222" t="s">
        <v>53</v>
      </c>
      <c r="Z19" s="270"/>
      <c r="AA19" s="270"/>
      <c r="AB19" s="209"/>
      <c r="AC19" s="114"/>
    </row>
    <row r="20" spans="1:29" ht="12.75" customHeight="1">
      <c r="A20" s="131" t="s">
        <v>40</v>
      </c>
      <c r="B20" s="132" t="s">
        <v>47</v>
      </c>
      <c r="C20" s="281" t="s">
        <v>55</v>
      </c>
      <c r="D20" s="133">
        <v>43437</v>
      </c>
      <c r="E20" s="134">
        <f t="shared" ref="E20:E25" si="11">F20</f>
        <v>80</v>
      </c>
      <c r="F20" s="134">
        <f t="shared" ref="F20:F25" si="12">AA20*8</f>
        <v>80</v>
      </c>
      <c r="G20" s="134">
        <f t="shared" ref="G20:G25" si="13">H20+I20</f>
        <v>80</v>
      </c>
      <c r="H20" s="134">
        <f t="shared" ref="H20:H25" si="14">SUM(J20:Y20)</f>
        <v>80</v>
      </c>
      <c r="I20" s="135">
        <v>0</v>
      </c>
      <c r="J20" s="180">
        <v>8</v>
      </c>
      <c r="K20" s="245" t="s">
        <v>39</v>
      </c>
      <c r="L20" s="245" t="s">
        <v>39</v>
      </c>
      <c r="M20" s="183">
        <v>8</v>
      </c>
      <c r="N20" s="140">
        <v>8</v>
      </c>
      <c r="O20" s="140">
        <v>8</v>
      </c>
      <c r="P20" s="253" t="s">
        <v>48</v>
      </c>
      <c r="Q20" s="180">
        <v>8</v>
      </c>
      <c r="R20" s="245" t="s">
        <v>39</v>
      </c>
      <c r="S20" s="245" t="s">
        <v>39</v>
      </c>
      <c r="T20" s="207">
        <v>8</v>
      </c>
      <c r="U20" s="140">
        <v>8</v>
      </c>
      <c r="V20" s="140">
        <v>8</v>
      </c>
      <c r="W20" s="183">
        <v>8</v>
      </c>
      <c r="X20" s="183">
        <v>8</v>
      </c>
      <c r="Y20" s="245" t="s">
        <v>39</v>
      </c>
      <c r="Z20" s="134"/>
      <c r="AA20" s="136">
        <v>10</v>
      </c>
      <c r="AB20" s="209"/>
      <c r="AC20" s="114"/>
    </row>
    <row r="21" spans="1:29" ht="12.75" customHeight="1">
      <c r="A21" s="131" t="s">
        <v>41</v>
      </c>
      <c r="B21" s="132" t="s">
        <v>47</v>
      </c>
      <c r="C21" s="281" t="s">
        <v>56</v>
      </c>
      <c r="D21" s="133">
        <v>45028</v>
      </c>
      <c r="E21" s="134">
        <f t="shared" si="11"/>
        <v>80</v>
      </c>
      <c r="F21" s="134">
        <f t="shared" si="12"/>
        <v>80</v>
      </c>
      <c r="G21" s="134">
        <f t="shared" si="13"/>
        <v>80</v>
      </c>
      <c r="H21" s="134">
        <f t="shared" si="14"/>
        <v>80</v>
      </c>
      <c r="I21" s="135">
        <v>0</v>
      </c>
      <c r="J21" s="180">
        <v>8</v>
      </c>
      <c r="K21" s="245" t="s">
        <v>39</v>
      </c>
      <c r="L21" s="245" t="s">
        <v>39</v>
      </c>
      <c r="M21" s="180">
        <v>8</v>
      </c>
      <c r="N21" s="140">
        <v>8</v>
      </c>
      <c r="O21" s="140">
        <v>8</v>
      </c>
      <c r="P21" s="253" t="s">
        <v>48</v>
      </c>
      <c r="Q21" s="207">
        <v>8</v>
      </c>
      <c r="R21" s="245" t="s">
        <v>39</v>
      </c>
      <c r="S21" s="245" t="s">
        <v>39</v>
      </c>
      <c r="T21" s="207">
        <v>8</v>
      </c>
      <c r="U21" s="140">
        <v>8</v>
      </c>
      <c r="V21" s="140">
        <v>8</v>
      </c>
      <c r="W21" s="183">
        <v>8</v>
      </c>
      <c r="X21" s="183">
        <v>8</v>
      </c>
      <c r="Y21" s="245" t="s">
        <v>39</v>
      </c>
      <c r="Z21" s="134"/>
      <c r="AA21" s="136">
        <v>10</v>
      </c>
      <c r="AB21" s="209"/>
      <c r="AC21" s="114"/>
    </row>
    <row r="22" spans="1:29" ht="12.75" customHeight="1">
      <c r="A22" s="131" t="s">
        <v>42</v>
      </c>
      <c r="B22" s="132" t="s">
        <v>47</v>
      </c>
      <c r="C22" s="281" t="s">
        <v>57</v>
      </c>
      <c r="D22" s="133">
        <v>43395</v>
      </c>
      <c r="E22" s="134">
        <f t="shared" si="11"/>
        <v>80</v>
      </c>
      <c r="F22" s="134">
        <f t="shared" si="12"/>
        <v>80</v>
      </c>
      <c r="G22" s="134">
        <f t="shared" si="13"/>
        <v>80</v>
      </c>
      <c r="H22" s="134">
        <f t="shared" si="14"/>
        <v>80</v>
      </c>
      <c r="I22" s="135">
        <v>0</v>
      </c>
      <c r="J22" s="180">
        <v>8</v>
      </c>
      <c r="K22" s="245" t="s">
        <v>39</v>
      </c>
      <c r="L22" s="245" t="s">
        <v>39</v>
      </c>
      <c r="M22" s="180">
        <v>8</v>
      </c>
      <c r="N22" s="140">
        <v>8</v>
      </c>
      <c r="O22" s="140">
        <v>8</v>
      </c>
      <c r="P22" s="253" t="s">
        <v>48</v>
      </c>
      <c r="Q22" s="180">
        <v>8</v>
      </c>
      <c r="R22" s="245" t="s">
        <v>39</v>
      </c>
      <c r="S22" s="245" t="s">
        <v>39</v>
      </c>
      <c r="T22" s="207">
        <v>8</v>
      </c>
      <c r="U22" s="140">
        <v>8</v>
      </c>
      <c r="V22" s="140">
        <v>8</v>
      </c>
      <c r="W22" s="183">
        <v>8</v>
      </c>
      <c r="X22" s="183">
        <v>8</v>
      </c>
      <c r="Y22" s="245" t="s">
        <v>39</v>
      </c>
      <c r="Z22" s="134"/>
      <c r="AA22" s="136">
        <v>10</v>
      </c>
      <c r="AB22" s="209"/>
      <c r="AC22" s="114"/>
    </row>
    <row r="23" spans="1:29" ht="12.75" customHeight="1">
      <c r="A23" s="131" t="s">
        <v>43</v>
      </c>
      <c r="B23" s="132" t="s">
        <v>47</v>
      </c>
      <c r="C23" s="281" t="s">
        <v>56</v>
      </c>
      <c r="D23" s="138">
        <v>43741</v>
      </c>
      <c r="E23" s="134">
        <f t="shared" si="11"/>
        <v>80</v>
      </c>
      <c r="F23" s="134">
        <f t="shared" si="12"/>
        <v>80</v>
      </c>
      <c r="G23" s="134">
        <f t="shared" si="13"/>
        <v>80</v>
      </c>
      <c r="H23" s="134">
        <f t="shared" si="14"/>
        <v>80</v>
      </c>
      <c r="I23" s="135">
        <v>0</v>
      </c>
      <c r="J23" s="180">
        <v>8</v>
      </c>
      <c r="K23" s="245" t="s">
        <v>39</v>
      </c>
      <c r="L23" s="245" t="s">
        <v>39</v>
      </c>
      <c r="M23" s="180">
        <v>8</v>
      </c>
      <c r="N23" s="140">
        <v>8</v>
      </c>
      <c r="O23" s="140">
        <v>8</v>
      </c>
      <c r="P23" s="253" t="s">
        <v>48</v>
      </c>
      <c r="Q23" s="183">
        <v>8</v>
      </c>
      <c r="R23" s="245" t="s">
        <v>39</v>
      </c>
      <c r="S23" s="245" t="s">
        <v>39</v>
      </c>
      <c r="T23" s="207">
        <v>8</v>
      </c>
      <c r="U23" s="140">
        <v>8</v>
      </c>
      <c r="V23" s="140">
        <v>8</v>
      </c>
      <c r="W23" s="183">
        <v>8</v>
      </c>
      <c r="X23" s="183">
        <v>8</v>
      </c>
      <c r="Y23" s="245" t="s">
        <v>39</v>
      </c>
      <c r="Z23" s="134"/>
      <c r="AA23" s="136">
        <v>10</v>
      </c>
      <c r="AB23" s="209"/>
      <c r="AC23" s="114"/>
    </row>
    <row r="24" spans="1:29" ht="12.75" customHeight="1">
      <c r="A24" s="139" t="s">
        <v>44</v>
      </c>
      <c r="B24" s="132" t="s">
        <v>47</v>
      </c>
      <c r="C24" s="281" t="s">
        <v>58</v>
      </c>
      <c r="D24" s="138">
        <v>43731</v>
      </c>
      <c r="E24" s="134">
        <v>40</v>
      </c>
      <c r="F24" s="134">
        <v>40</v>
      </c>
      <c r="G24" s="134">
        <f t="shared" si="13"/>
        <v>40</v>
      </c>
      <c r="H24" s="134">
        <f t="shared" si="14"/>
        <v>40</v>
      </c>
      <c r="I24" s="135">
        <v>0</v>
      </c>
      <c r="J24" s="180">
        <v>4</v>
      </c>
      <c r="K24" s="245" t="s">
        <v>39</v>
      </c>
      <c r="L24" s="245" t="s">
        <v>39</v>
      </c>
      <c r="M24" s="180">
        <v>4</v>
      </c>
      <c r="N24" s="140">
        <v>4</v>
      </c>
      <c r="O24" s="140">
        <v>4</v>
      </c>
      <c r="P24" s="253" t="s">
        <v>48</v>
      </c>
      <c r="Q24" s="140">
        <v>4</v>
      </c>
      <c r="R24" s="245" t="s">
        <v>39</v>
      </c>
      <c r="S24" s="245" t="s">
        <v>39</v>
      </c>
      <c r="T24" s="207">
        <v>4</v>
      </c>
      <c r="U24" s="140">
        <v>4</v>
      </c>
      <c r="V24" s="140">
        <v>4</v>
      </c>
      <c r="W24" s="183">
        <v>4</v>
      </c>
      <c r="X24" s="183">
        <v>4</v>
      </c>
      <c r="Y24" s="245" t="s">
        <v>39</v>
      </c>
      <c r="Z24" s="134"/>
      <c r="AA24" s="136">
        <v>10</v>
      </c>
      <c r="AB24" s="209"/>
      <c r="AC24" s="114"/>
    </row>
    <row r="25" spans="1:29" ht="12.75" customHeight="1">
      <c r="A25" s="139" t="s">
        <v>45</v>
      </c>
      <c r="B25" s="132" t="s">
        <v>47</v>
      </c>
      <c r="C25" s="281" t="s">
        <v>59</v>
      </c>
      <c r="D25" s="138">
        <v>45628</v>
      </c>
      <c r="E25" s="134">
        <f t="shared" si="11"/>
        <v>80</v>
      </c>
      <c r="F25" s="134">
        <f t="shared" si="12"/>
        <v>80</v>
      </c>
      <c r="G25" s="134">
        <f t="shared" si="13"/>
        <v>72</v>
      </c>
      <c r="H25" s="134">
        <f t="shared" si="14"/>
        <v>72</v>
      </c>
      <c r="I25" s="135">
        <v>0</v>
      </c>
      <c r="J25" s="241">
        <v>8</v>
      </c>
      <c r="K25" s="245" t="s">
        <v>39</v>
      </c>
      <c r="L25" s="245" t="s">
        <v>39</v>
      </c>
      <c r="M25" s="241">
        <v>8</v>
      </c>
      <c r="N25" s="140">
        <v>8</v>
      </c>
      <c r="O25" s="140">
        <v>8</v>
      </c>
      <c r="P25" s="253" t="s">
        <v>48</v>
      </c>
      <c r="Q25" s="241">
        <v>8</v>
      </c>
      <c r="R25" s="245" t="s">
        <v>39</v>
      </c>
      <c r="S25" s="245" t="s">
        <v>39</v>
      </c>
      <c r="T25" s="207">
        <v>8</v>
      </c>
      <c r="U25" s="140">
        <v>8</v>
      </c>
      <c r="V25" s="140">
        <v>8</v>
      </c>
      <c r="W25" s="236"/>
      <c r="X25" s="183">
        <v>8</v>
      </c>
      <c r="Y25" s="245" t="s">
        <v>39</v>
      </c>
      <c r="Z25" s="134">
        <v>1</v>
      </c>
      <c r="AA25" s="136">
        <v>10</v>
      </c>
      <c r="AB25" s="209"/>
      <c r="AC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34"/>
      <c r="AA26" s="135"/>
      <c r="AB26" s="209"/>
      <c r="AC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34"/>
      <c r="AA27" s="135"/>
      <c r="AB27" s="209"/>
      <c r="AC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34"/>
      <c r="AA28" s="135"/>
      <c r="AB28" s="209"/>
      <c r="AC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34"/>
      <c r="AA29" s="135"/>
      <c r="AB29" s="209"/>
      <c r="AC29" s="114"/>
    </row>
    <row r="30" spans="1:29" ht="12.75" customHeight="1">
      <c r="A30" s="228"/>
      <c r="B30" s="228"/>
      <c r="C30" s="229"/>
      <c r="D30" s="229"/>
      <c r="E30" s="224">
        <f t="shared" ref="E30:V30" si="15">SUM(E20:E29)</f>
        <v>440</v>
      </c>
      <c r="F30" s="224">
        <f t="shared" si="15"/>
        <v>440</v>
      </c>
      <c r="G30" s="224">
        <f t="shared" si="15"/>
        <v>432</v>
      </c>
      <c r="H30" s="224">
        <f t="shared" si="15"/>
        <v>432</v>
      </c>
      <c r="I30" s="224">
        <f t="shared" si="15"/>
        <v>0</v>
      </c>
      <c r="J30" s="224">
        <f t="shared" si="15"/>
        <v>44</v>
      </c>
      <c r="K30" s="224">
        <f t="shared" si="15"/>
        <v>0</v>
      </c>
      <c r="L30" s="224">
        <f t="shared" si="15"/>
        <v>0</v>
      </c>
      <c r="M30" s="224">
        <f t="shared" si="15"/>
        <v>44</v>
      </c>
      <c r="N30" s="224">
        <f t="shared" si="15"/>
        <v>44</v>
      </c>
      <c r="O30" s="224">
        <f t="shared" si="15"/>
        <v>44</v>
      </c>
      <c r="P30" s="224">
        <f t="shared" si="15"/>
        <v>0</v>
      </c>
      <c r="Q30" s="224">
        <f t="shared" si="15"/>
        <v>44</v>
      </c>
      <c r="R30" s="224">
        <f t="shared" si="15"/>
        <v>0</v>
      </c>
      <c r="S30" s="224">
        <f t="shared" si="15"/>
        <v>0</v>
      </c>
      <c r="T30" s="224">
        <f t="shared" si="15"/>
        <v>44</v>
      </c>
      <c r="U30" s="224">
        <f t="shared" si="15"/>
        <v>44</v>
      </c>
      <c r="V30" s="224">
        <f t="shared" si="15"/>
        <v>44</v>
      </c>
      <c r="W30" s="224"/>
      <c r="X30" s="224"/>
      <c r="Y30" s="224"/>
      <c r="Z30" s="224"/>
      <c r="AA30" s="224"/>
      <c r="AB30" s="210"/>
      <c r="AC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6" t="s">
        <v>25</v>
      </c>
      <c r="E33" s="246" t="s">
        <v>38</v>
      </c>
      <c r="F33" s="120"/>
      <c r="G33" s="120"/>
      <c r="H33" s="120"/>
      <c r="I33" s="120"/>
      <c r="J33" s="120"/>
      <c r="K33" s="118"/>
      <c r="L33" s="118"/>
      <c r="M33" s="118"/>
      <c r="N33" s="118"/>
      <c r="O33" s="118"/>
      <c r="P33" s="118"/>
      <c r="Q33" s="120"/>
      <c r="R33" s="120"/>
      <c r="S33" s="120"/>
      <c r="T33" s="120"/>
      <c r="U33" s="120"/>
      <c r="V33" s="120"/>
      <c r="W33" s="120"/>
      <c r="X33" s="120"/>
      <c r="Y33" s="120"/>
      <c r="Z33" s="148"/>
      <c r="AA33" s="120"/>
      <c r="AB33" s="114"/>
    </row>
    <row r="34" spans="1:29" ht="13.5" customHeight="1">
      <c r="A34" s="131" t="s">
        <v>40</v>
      </c>
      <c r="B34" s="153">
        <f>G5+G20</f>
        <v>160</v>
      </c>
      <c r="C34" s="154">
        <f>F5+F20</f>
        <v>168</v>
      </c>
      <c r="D34" s="247">
        <f t="shared" ref="D34:D39" si="16">B34</f>
        <v>160</v>
      </c>
      <c r="E34" s="250">
        <v>29</v>
      </c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</row>
    <row r="35" spans="1:29" ht="13.5" customHeight="1">
      <c r="A35" s="131" t="s">
        <v>41</v>
      </c>
      <c r="B35" s="153">
        <f>G6+G21</f>
        <v>168</v>
      </c>
      <c r="C35" s="154">
        <f>F6+F21</f>
        <v>168</v>
      </c>
      <c r="D35" s="247">
        <f t="shared" si="16"/>
        <v>168</v>
      </c>
      <c r="E35" s="250">
        <v>32</v>
      </c>
      <c r="F35" s="114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48"/>
      <c r="AA35" s="120"/>
      <c r="AB35" s="114"/>
    </row>
    <row r="36" spans="1:29" ht="13.5" customHeight="1">
      <c r="A36" s="131" t="s">
        <v>42</v>
      </c>
      <c r="B36" s="153">
        <f>G7+G22</f>
        <v>168</v>
      </c>
      <c r="C36" s="154">
        <f>F7+F22</f>
        <v>168</v>
      </c>
      <c r="D36" s="247">
        <f t="shared" si="16"/>
        <v>168</v>
      </c>
      <c r="E36" s="250">
        <v>36</v>
      </c>
      <c r="F36" s="114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48"/>
      <c r="AA36" s="120"/>
      <c r="AB36" s="114"/>
    </row>
    <row r="37" spans="1:29" ht="13.5" customHeight="1">
      <c r="A37" s="131" t="s">
        <v>43</v>
      </c>
      <c r="B37" s="153">
        <f>G8+G23</f>
        <v>168</v>
      </c>
      <c r="C37" s="154">
        <f>F8+F23</f>
        <v>168</v>
      </c>
      <c r="D37" s="247">
        <f t="shared" si="16"/>
        <v>168</v>
      </c>
      <c r="E37" s="250">
        <v>23</v>
      </c>
      <c r="F37" s="114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48"/>
      <c r="AA37" s="120"/>
      <c r="AB37" s="114"/>
    </row>
    <row r="38" spans="1:29" ht="13.5" customHeight="1">
      <c r="A38" s="139" t="s">
        <v>44</v>
      </c>
      <c r="B38" s="216">
        <f>G9+G24</f>
        <v>84</v>
      </c>
      <c r="C38" s="217">
        <f>F9+F24</f>
        <v>84</v>
      </c>
      <c r="D38" s="248">
        <f t="shared" si="16"/>
        <v>84</v>
      </c>
      <c r="E38" s="250">
        <v>28</v>
      </c>
      <c r="F38" s="114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48"/>
      <c r="AA38" s="120"/>
      <c r="AB38" s="114"/>
    </row>
    <row r="39" spans="1:29" ht="13.5" customHeight="1" thickBot="1">
      <c r="A39" s="139" t="s">
        <v>45</v>
      </c>
      <c r="B39" s="158">
        <f>H10+H25</f>
        <v>160</v>
      </c>
      <c r="C39" s="159">
        <f>F10+F25</f>
        <v>168</v>
      </c>
      <c r="D39" s="249">
        <f t="shared" si="16"/>
        <v>160</v>
      </c>
      <c r="E39" s="250">
        <v>27</v>
      </c>
      <c r="F39" s="114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48"/>
      <c r="AA39" s="120"/>
      <c r="AB39" s="114"/>
    </row>
    <row r="40" spans="1:29" ht="13.5" hidden="1" customHeight="1">
      <c r="A40" s="211"/>
      <c r="B40" s="212">
        <f>H11+H26</f>
        <v>0</v>
      </c>
      <c r="C40" s="213">
        <f t="shared" ref="C40:D43" si="17">B40</f>
        <v>0</v>
      </c>
      <c r="D40" s="214">
        <f t="shared" si="17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H12+H27</f>
        <v>0</v>
      </c>
      <c r="C41" s="154">
        <f t="shared" si="17"/>
        <v>0</v>
      </c>
      <c r="D41" s="155">
        <f t="shared" si="17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H13+H28</f>
        <v>0</v>
      </c>
      <c r="C42" s="154">
        <f t="shared" si="17"/>
        <v>0</v>
      </c>
      <c r="D42" s="155">
        <f t="shared" si="17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H14+H29</f>
        <v>0</v>
      </c>
      <c r="C43" s="159">
        <f t="shared" si="17"/>
        <v>0</v>
      </c>
      <c r="D43" s="160">
        <f t="shared" si="17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3" t="s">
        <v>0</v>
      </c>
      <c r="B46" s="264"/>
      <c r="C46" s="26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 thickBot="1">
      <c r="A50" s="157" t="s">
        <v>31</v>
      </c>
      <c r="B50" s="172">
        <f t="shared" ref="B50:C50" si="18">B48-B49</f>
        <v>10</v>
      </c>
      <c r="C50" s="173">
        <f t="shared" si="18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 thickBo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3" t="s">
        <v>22</v>
      </c>
      <c r="B53" s="264"/>
      <c r="C53" s="26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19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19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 thickBot="1">
      <c r="A57" s="176" t="s">
        <v>31</v>
      </c>
      <c r="B57" s="172">
        <f t="shared" ref="B57:C57" si="20">B55-B56</f>
        <v>12</v>
      </c>
      <c r="C57" s="173">
        <f t="shared" si="20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 thickBo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 thickBo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/>
    <row r="261" s="115" customFormat="1"/>
    <row r="262" s="115" customFormat="1"/>
    <row r="263" s="115" customFormat="1"/>
    <row r="264" s="115" customFormat="1"/>
    <row r="265" s="115" customFormat="1"/>
    <row r="266" s="115" customFormat="1"/>
    <row r="267" s="115" customFormat="1"/>
    <row r="268" s="115" customFormat="1"/>
    <row r="269" s="115" customFormat="1"/>
    <row r="270" s="115" customFormat="1"/>
    <row r="271" s="115" customFormat="1"/>
    <row r="272" s="115" customFormat="1"/>
    <row r="273" s="115" customFormat="1"/>
    <row r="274" s="115" customFormat="1"/>
    <row r="275" s="115" customFormat="1"/>
    <row r="276" s="115" customFormat="1"/>
    <row r="277" s="115" customFormat="1"/>
    <row r="278" s="115" customFormat="1"/>
    <row r="279" s="115" customFormat="1"/>
    <row r="280" s="115" customFormat="1"/>
    <row r="281" s="115" customFormat="1"/>
    <row r="282" s="115" customFormat="1"/>
    <row r="283" s="115" customFormat="1"/>
    <row r="284" s="115" customFormat="1"/>
    <row r="285" s="115" customFormat="1"/>
    <row r="286" s="115" customFormat="1"/>
    <row r="287" s="115" customFormat="1"/>
    <row r="288" s="115" customFormat="1"/>
    <row r="289" s="115" customFormat="1"/>
    <row r="290" s="115" customFormat="1"/>
    <row r="291" s="115" customFormat="1"/>
    <row r="292" s="115" customFormat="1"/>
    <row r="293" s="115" customFormat="1"/>
    <row r="294" s="115" customFormat="1"/>
    <row r="295" s="115" customFormat="1"/>
    <row r="296" s="115" customFormat="1"/>
    <row r="297" s="115" customFormat="1"/>
    <row r="298" s="115" customFormat="1"/>
    <row r="299" s="115" customFormat="1"/>
    <row r="300" s="115" customFormat="1"/>
    <row r="301" s="115" customFormat="1"/>
    <row r="302" s="115" customFormat="1"/>
    <row r="303" s="115" customFormat="1"/>
    <row r="304" s="115" customFormat="1"/>
    <row r="305" s="115" customFormat="1"/>
    <row r="306" s="115" customFormat="1"/>
    <row r="307" s="115" customFormat="1"/>
    <row r="308" s="115" customFormat="1"/>
    <row r="309" s="115" customFormat="1"/>
    <row r="310" s="115" customFormat="1"/>
    <row r="311" s="115" customFormat="1"/>
    <row r="312" s="115" customFormat="1"/>
    <row r="313" s="115" customFormat="1"/>
    <row r="314" s="115" customFormat="1"/>
    <row r="315" s="115" customFormat="1"/>
    <row r="316" s="115" customFormat="1"/>
    <row r="317" s="115" customFormat="1"/>
    <row r="318" s="115" customFormat="1"/>
    <row r="319" s="115" customFormat="1"/>
    <row r="320" s="115" customFormat="1"/>
    <row r="321" s="115" customFormat="1"/>
    <row r="322" s="115" customFormat="1"/>
    <row r="323" s="115" customFormat="1"/>
    <row r="324" s="115" customFormat="1"/>
    <row r="325" s="115" customFormat="1"/>
    <row r="326" s="115" customFormat="1"/>
    <row r="327" s="115" customFormat="1"/>
    <row r="328" s="115" customFormat="1"/>
    <row r="329" s="115" customFormat="1"/>
    <row r="330" s="115" customFormat="1"/>
    <row r="331" s="115" customFormat="1"/>
    <row r="332" s="115" customFormat="1"/>
    <row r="333" s="115" customFormat="1"/>
    <row r="334" s="115" customFormat="1"/>
    <row r="335" s="115" customFormat="1"/>
    <row r="336" s="115" customFormat="1"/>
    <row r="337" s="115" customFormat="1"/>
    <row r="338" s="115" customFormat="1"/>
    <row r="339" s="115" customFormat="1"/>
    <row r="340" s="115" customFormat="1"/>
    <row r="341" s="115" customFormat="1"/>
    <row r="342" s="115" customFormat="1"/>
    <row r="343" s="115" customFormat="1"/>
    <row r="344" s="115" customFormat="1"/>
    <row r="345" s="115" customFormat="1"/>
    <row r="346" s="115" customFormat="1"/>
    <row r="347" s="115" customFormat="1"/>
    <row r="348" s="115" customFormat="1"/>
    <row r="349" s="115" customFormat="1"/>
    <row r="350" s="115" customFormat="1"/>
    <row r="351" s="115" customFormat="1"/>
    <row r="352" s="115" customFormat="1"/>
    <row r="353" s="115" customFormat="1"/>
    <row r="354" s="115" customFormat="1"/>
    <row r="355" s="115" customFormat="1"/>
    <row r="356" s="115" customFormat="1"/>
    <row r="357" s="115" customFormat="1"/>
    <row r="358" s="115" customFormat="1"/>
    <row r="359" s="115" customFormat="1"/>
    <row r="360" s="115" customFormat="1"/>
    <row r="361" s="115" customFormat="1"/>
    <row r="362" s="115" customFormat="1"/>
    <row r="363" s="115" customFormat="1"/>
    <row r="364" s="115" customFormat="1"/>
    <row r="365" s="115" customFormat="1"/>
    <row r="366" s="115" customFormat="1"/>
    <row r="367" s="115" customFormat="1"/>
    <row r="368" s="115" customFormat="1"/>
    <row r="369" s="115" customFormat="1"/>
    <row r="370" s="115" customFormat="1"/>
    <row r="371" s="115" customFormat="1"/>
    <row r="372" s="115" customFormat="1"/>
    <row r="373" s="115" customFormat="1"/>
    <row r="374" s="115" customFormat="1"/>
    <row r="375" s="115" customFormat="1"/>
    <row r="376" s="115" customFormat="1"/>
    <row r="377" s="115" customFormat="1"/>
    <row r="378" s="115" customFormat="1"/>
    <row r="379" s="115" customFormat="1"/>
    <row r="380" s="115" customFormat="1"/>
    <row r="381" s="115" customFormat="1"/>
    <row r="382" s="115" customFormat="1"/>
    <row r="383" s="115" customFormat="1"/>
    <row r="384" s="115" customFormat="1"/>
    <row r="385" s="115" customFormat="1"/>
    <row r="386" s="115" customFormat="1"/>
    <row r="387" s="115" customFormat="1"/>
    <row r="388" s="115" customFormat="1"/>
    <row r="389" s="115" customFormat="1"/>
    <row r="390" s="115" customFormat="1"/>
    <row r="391" s="115" customFormat="1"/>
    <row r="392" s="115" customFormat="1"/>
    <row r="393" s="115" customFormat="1"/>
    <row r="394" s="115" customFormat="1"/>
    <row r="395" s="115" customFormat="1"/>
    <row r="396" s="115" customFormat="1"/>
    <row r="397" s="115" customFormat="1"/>
    <row r="398" s="115" customFormat="1"/>
    <row r="399" s="115" customFormat="1"/>
    <row r="400" s="115" customFormat="1"/>
    <row r="401" s="115" customFormat="1"/>
    <row r="402" s="115" customFormat="1"/>
    <row r="403" s="115" customFormat="1"/>
    <row r="404" s="115" customFormat="1"/>
    <row r="405" s="115" customFormat="1"/>
    <row r="406" s="115" customFormat="1"/>
    <row r="407" s="115" customFormat="1"/>
    <row r="408" s="115" customFormat="1"/>
    <row r="409" s="115" customFormat="1"/>
    <row r="410" s="115" customFormat="1"/>
    <row r="411" s="115" customFormat="1"/>
    <row r="412" s="115" customFormat="1"/>
    <row r="413" s="115" customFormat="1"/>
    <row r="414" s="115" customFormat="1"/>
    <row r="415" s="115" customFormat="1"/>
    <row r="416" s="115" customFormat="1"/>
    <row r="417" s="115" customFormat="1"/>
    <row r="418" s="115" customFormat="1"/>
    <row r="419" s="115" customFormat="1"/>
    <row r="420" s="115" customFormat="1"/>
    <row r="421" s="115" customFormat="1"/>
    <row r="422" s="115" customFormat="1"/>
    <row r="423" s="115" customFormat="1"/>
    <row r="424" s="115" customFormat="1"/>
    <row r="425" s="115" customFormat="1"/>
    <row r="426" s="115" customFormat="1"/>
    <row r="427" s="115" customFormat="1"/>
    <row r="428" s="115" customFormat="1"/>
    <row r="429" s="115" customFormat="1"/>
    <row r="430" s="115" customFormat="1"/>
    <row r="431" s="115" customFormat="1"/>
    <row r="432" s="115" customFormat="1"/>
    <row r="433" s="115" customFormat="1"/>
    <row r="434" s="115" customFormat="1"/>
    <row r="435" s="115" customFormat="1"/>
    <row r="436" s="115" customFormat="1"/>
    <row r="437" s="115" customFormat="1"/>
    <row r="438" s="115" customFormat="1"/>
    <row r="439" s="115" customFormat="1"/>
    <row r="440" s="115" customFormat="1"/>
    <row r="441" s="115" customFormat="1"/>
    <row r="442" s="115" customFormat="1"/>
    <row r="443" s="115" customFormat="1"/>
    <row r="444" s="115" customFormat="1"/>
    <row r="445" s="115" customFormat="1"/>
    <row r="446" s="115" customFormat="1"/>
    <row r="447" s="115" customFormat="1"/>
    <row r="448" s="115" customFormat="1"/>
    <row r="449" s="115" customFormat="1"/>
    <row r="450" s="115" customFormat="1"/>
    <row r="451" s="115" customFormat="1"/>
    <row r="452" s="115" customFormat="1"/>
    <row r="453" s="115" customFormat="1"/>
    <row r="454" s="115" customFormat="1"/>
    <row r="455" s="115" customFormat="1"/>
    <row r="456" s="115" customFormat="1"/>
    <row r="457" s="115" customFormat="1"/>
    <row r="458" s="115" customFormat="1"/>
    <row r="459" s="115" customFormat="1"/>
    <row r="460" s="115" customFormat="1"/>
    <row r="461" s="115" customFormat="1"/>
    <row r="462" s="115" customFormat="1"/>
    <row r="463" s="115" customFormat="1"/>
    <row r="464" s="115" customFormat="1"/>
    <row r="465" s="115" customFormat="1"/>
    <row r="466" s="115" customFormat="1"/>
    <row r="467" s="115" customFormat="1"/>
    <row r="468" s="115" customFormat="1"/>
    <row r="469" s="115" customFormat="1"/>
    <row r="470" s="115" customFormat="1"/>
    <row r="471" s="115" customFormat="1"/>
    <row r="472" s="115" customFormat="1"/>
    <row r="473" s="115" customFormat="1"/>
    <row r="474" s="115" customFormat="1"/>
    <row r="475" s="115" customFormat="1"/>
    <row r="476" s="115" customFormat="1"/>
    <row r="477" s="115" customFormat="1"/>
    <row r="478" s="115" customFormat="1"/>
    <row r="479" s="115" customFormat="1"/>
    <row r="480" s="115" customFormat="1"/>
    <row r="481" s="115" customFormat="1"/>
    <row r="482" s="115" customFormat="1"/>
    <row r="483" s="115" customFormat="1"/>
    <row r="484" s="115" customFormat="1"/>
    <row r="485" s="115" customFormat="1"/>
    <row r="486" s="115" customFormat="1"/>
    <row r="487" s="115" customFormat="1"/>
    <row r="488" s="115" customFormat="1"/>
    <row r="489" s="115" customFormat="1"/>
    <row r="490" s="115" customFormat="1"/>
    <row r="491" s="115" customFormat="1"/>
    <row r="492" s="115" customFormat="1"/>
    <row r="493" s="115" customFormat="1"/>
    <row r="494" s="115" customFormat="1"/>
    <row r="495" s="115" customFormat="1"/>
    <row r="496" s="115" customFormat="1"/>
    <row r="497" s="115" customFormat="1"/>
    <row r="498" s="115" customFormat="1"/>
    <row r="499" s="115" customFormat="1"/>
    <row r="500" s="115" customFormat="1"/>
    <row r="501" s="115" customFormat="1"/>
    <row r="502" s="115" customFormat="1"/>
    <row r="503" s="115" customFormat="1"/>
    <row r="504" s="115" customFormat="1"/>
    <row r="505" s="115" customFormat="1"/>
    <row r="506" s="115" customFormat="1"/>
    <row r="507" s="115" customFormat="1"/>
    <row r="508" s="115" customFormat="1"/>
    <row r="509" s="115" customFormat="1"/>
    <row r="510" s="115" customFormat="1"/>
    <row r="511" s="115" customFormat="1"/>
    <row r="512" s="115" customFormat="1"/>
    <row r="513" s="115" customFormat="1"/>
    <row r="514" s="115" customFormat="1"/>
    <row r="515" s="115" customFormat="1"/>
    <row r="516" s="115" customFormat="1"/>
    <row r="517" s="115" customFormat="1"/>
    <row r="518" s="115" customFormat="1"/>
    <row r="519" s="115" customFormat="1"/>
    <row r="520" s="115" customFormat="1"/>
    <row r="521" s="115" customFormat="1"/>
    <row r="522" s="115" customFormat="1"/>
    <row r="523" s="115" customFormat="1"/>
    <row r="524" s="115" customFormat="1"/>
    <row r="525" s="115" customFormat="1"/>
    <row r="526" s="115" customFormat="1"/>
    <row r="527" s="115" customFormat="1"/>
    <row r="528" s="115" customFormat="1"/>
    <row r="529" s="115" customFormat="1"/>
    <row r="530" s="115" customFormat="1"/>
    <row r="531" s="115" customFormat="1"/>
    <row r="532" s="115" customFormat="1"/>
    <row r="533" s="115" customFormat="1"/>
    <row r="534" s="115" customFormat="1"/>
    <row r="535" s="115" customFormat="1"/>
    <row r="536" s="115" customFormat="1"/>
    <row r="537" s="115" customFormat="1"/>
    <row r="538" s="115" customFormat="1"/>
    <row r="539" s="115" customFormat="1"/>
    <row r="540" s="115" customFormat="1"/>
    <row r="541" s="115" customFormat="1"/>
    <row r="542" s="115" customFormat="1"/>
    <row r="543" s="115" customFormat="1"/>
    <row r="544" s="115" customFormat="1"/>
    <row r="545" s="115" customFormat="1"/>
    <row r="546" s="115" customFormat="1"/>
    <row r="547" s="115" customFormat="1"/>
    <row r="548" s="115" customFormat="1"/>
    <row r="549" s="115" customFormat="1"/>
    <row r="550" s="115" customFormat="1"/>
    <row r="551" s="115" customFormat="1"/>
    <row r="552" s="115" customFormat="1"/>
    <row r="553" s="115" customFormat="1"/>
    <row r="554" s="115" customFormat="1"/>
    <row r="555" s="115" customFormat="1"/>
    <row r="556" s="115" customFormat="1"/>
    <row r="557" s="115" customFormat="1"/>
    <row r="558" s="115" customFormat="1"/>
    <row r="559" s="115" customFormat="1"/>
    <row r="560" s="115" customFormat="1"/>
    <row r="561" s="115" customFormat="1"/>
    <row r="562" s="115" customFormat="1"/>
    <row r="563" s="115" customFormat="1"/>
    <row r="564" s="115" customFormat="1"/>
    <row r="565" s="115" customFormat="1"/>
    <row r="566" s="115" customFormat="1"/>
    <row r="567" s="115" customFormat="1"/>
    <row r="568" s="115" customFormat="1"/>
    <row r="569" s="115" customFormat="1"/>
    <row r="570" s="115" customFormat="1"/>
    <row r="571" s="115" customFormat="1"/>
    <row r="572" s="115" customFormat="1"/>
    <row r="573" s="115" customFormat="1"/>
    <row r="574" s="115" customFormat="1"/>
    <row r="575" s="115" customFormat="1"/>
    <row r="576" s="115" customFormat="1"/>
    <row r="577" s="115" customFormat="1"/>
    <row r="578" s="115" customFormat="1"/>
    <row r="579" s="115" customFormat="1"/>
    <row r="580" s="115" customFormat="1"/>
    <row r="581" s="115" customFormat="1"/>
    <row r="582" s="115" customFormat="1"/>
    <row r="583" s="115" customFormat="1"/>
    <row r="584" s="115" customFormat="1"/>
    <row r="585" s="115" customFormat="1"/>
    <row r="586" s="115" customFormat="1"/>
    <row r="587" s="115" customFormat="1"/>
    <row r="588" s="115" customFormat="1"/>
    <row r="589" s="115" customFormat="1"/>
    <row r="590" s="115" customFormat="1"/>
    <row r="591" s="115" customFormat="1"/>
    <row r="592" s="115" customFormat="1"/>
    <row r="593" s="115" customFormat="1"/>
    <row r="594" s="115" customFormat="1"/>
    <row r="595" s="115" customFormat="1"/>
    <row r="596" s="115" customFormat="1"/>
    <row r="597" s="115" customFormat="1"/>
    <row r="598" s="115" customFormat="1"/>
    <row r="599" s="115" customFormat="1"/>
    <row r="600" s="115" customFormat="1"/>
    <row r="601" s="115" customFormat="1"/>
    <row r="602" s="115" customFormat="1"/>
    <row r="603" s="115" customFormat="1"/>
    <row r="604" s="115" customFormat="1"/>
    <row r="605" s="115" customFormat="1"/>
    <row r="606" s="115" customFormat="1"/>
    <row r="607" s="115" customFormat="1"/>
    <row r="608" s="115" customFormat="1"/>
    <row r="609" s="115" customFormat="1"/>
    <row r="610" s="115" customFormat="1"/>
    <row r="611" s="115" customFormat="1"/>
    <row r="612" s="115" customFormat="1"/>
    <row r="613" s="115" customFormat="1"/>
    <row r="614" s="115" customFormat="1"/>
    <row r="615" s="115" customFormat="1"/>
    <row r="616" s="115" customFormat="1"/>
    <row r="617" s="115" customFormat="1"/>
    <row r="618" s="115" customFormat="1"/>
    <row r="619" s="115" customFormat="1"/>
    <row r="620" s="115" customFormat="1"/>
    <row r="621" s="115" customFormat="1"/>
    <row r="622" s="115" customFormat="1"/>
    <row r="623" s="115" customFormat="1"/>
    <row r="624" s="115" customFormat="1"/>
    <row r="625" s="115" customFormat="1"/>
    <row r="626" s="115" customFormat="1"/>
    <row r="627" s="115" customFormat="1"/>
    <row r="628" s="115" customFormat="1"/>
    <row r="629" s="115" customFormat="1"/>
    <row r="630" s="115" customFormat="1"/>
    <row r="631" s="115" customFormat="1"/>
    <row r="632" s="115" customFormat="1"/>
    <row r="633" s="115" customFormat="1"/>
    <row r="634" s="115" customFormat="1"/>
    <row r="635" s="115" customFormat="1"/>
    <row r="636" s="115" customFormat="1"/>
    <row r="637" s="115" customFormat="1"/>
    <row r="638" s="115" customFormat="1"/>
    <row r="639" s="115" customFormat="1"/>
    <row r="640" s="115" customFormat="1"/>
    <row r="641" s="115" customFormat="1"/>
    <row r="642" s="115" customFormat="1"/>
    <row r="643" s="115" customFormat="1"/>
    <row r="644" s="115" customFormat="1"/>
    <row r="645" s="115" customFormat="1"/>
    <row r="646" s="115" customFormat="1"/>
    <row r="647" s="115" customFormat="1"/>
    <row r="648" s="115" customFormat="1"/>
    <row r="649" s="115" customFormat="1"/>
    <row r="650" s="115" customFormat="1"/>
    <row r="651" s="115" customFormat="1"/>
    <row r="652" s="115" customFormat="1"/>
    <row r="653" s="115" customFormat="1"/>
    <row r="654" s="115" customFormat="1"/>
    <row r="655" s="115" customFormat="1"/>
    <row r="656" s="115" customFormat="1"/>
    <row r="657" s="115" customFormat="1"/>
    <row r="658" s="115" customFormat="1"/>
    <row r="659" s="115" customFormat="1"/>
    <row r="660" s="115" customFormat="1"/>
    <row r="661" s="115" customFormat="1"/>
    <row r="662" s="115" customFormat="1"/>
    <row r="663" s="115" customFormat="1"/>
    <row r="664" s="115" customFormat="1"/>
    <row r="665" s="115" customFormat="1"/>
    <row r="666" s="115" customFormat="1"/>
    <row r="667" s="115" customFormat="1"/>
    <row r="668" s="115" customFormat="1"/>
    <row r="669" s="115" customFormat="1"/>
    <row r="670" s="115" customFormat="1"/>
    <row r="671" s="115" customFormat="1"/>
    <row r="672" s="115" customFormat="1"/>
    <row r="673" s="115" customFormat="1"/>
    <row r="674" s="115" customFormat="1"/>
    <row r="675" s="115" customFormat="1"/>
    <row r="676" s="115" customFormat="1"/>
    <row r="677" s="115" customFormat="1"/>
    <row r="678" s="115" customFormat="1"/>
    <row r="679" s="115" customFormat="1"/>
    <row r="680" s="115" customFormat="1"/>
    <row r="681" s="115" customFormat="1"/>
    <row r="682" s="115" customFormat="1"/>
    <row r="683" s="115" customFormat="1"/>
    <row r="684" s="115" customFormat="1"/>
    <row r="685" s="115" customFormat="1"/>
    <row r="686" s="115" customFormat="1"/>
    <row r="687" s="115" customFormat="1"/>
    <row r="688" s="115" customFormat="1"/>
    <row r="689" s="115" customFormat="1"/>
    <row r="690" s="115" customFormat="1"/>
    <row r="691" s="115" customFormat="1"/>
    <row r="692" s="115" customFormat="1"/>
    <row r="693" s="115" customFormat="1"/>
    <row r="694" s="115" customFormat="1"/>
    <row r="695" s="115" customFormat="1"/>
    <row r="696" s="115" customFormat="1"/>
    <row r="697" s="115" customFormat="1"/>
    <row r="698" s="115" customFormat="1"/>
    <row r="699" s="115" customFormat="1"/>
    <row r="700" s="115" customFormat="1"/>
    <row r="701" s="115" customFormat="1"/>
    <row r="702" s="115" customFormat="1"/>
    <row r="703" s="115" customFormat="1"/>
    <row r="704" s="115" customFormat="1"/>
    <row r="705" s="115" customFormat="1"/>
    <row r="706" s="115" customFormat="1"/>
    <row r="707" s="115" customFormat="1"/>
    <row r="708" s="115" customFormat="1"/>
    <row r="709" s="115" customFormat="1"/>
    <row r="710" s="115" customFormat="1"/>
    <row r="711" s="115" customFormat="1"/>
    <row r="712" s="115" customFormat="1"/>
    <row r="713" s="115" customFormat="1"/>
    <row r="714" s="115" customFormat="1"/>
    <row r="715" s="115" customFormat="1"/>
    <row r="716" s="115" customFormat="1"/>
    <row r="717" s="115" customFormat="1"/>
    <row r="718" s="115" customFormat="1"/>
    <row r="719" s="115" customFormat="1"/>
    <row r="720" s="115" customFormat="1"/>
    <row r="721" s="115" customFormat="1"/>
    <row r="722" s="115" customFormat="1"/>
    <row r="723" s="115" customFormat="1"/>
    <row r="724" s="115" customFormat="1"/>
    <row r="725" s="115" customFormat="1"/>
    <row r="726" s="115" customFormat="1"/>
    <row r="727" s="115" customFormat="1"/>
    <row r="728" s="115" customFormat="1"/>
    <row r="729" s="115" customFormat="1"/>
    <row r="730" s="115" customFormat="1"/>
    <row r="731" s="115" customFormat="1"/>
    <row r="732" s="115" customFormat="1"/>
    <row r="733" s="115" customFormat="1"/>
    <row r="734" s="115" customFormat="1"/>
    <row r="735" s="115" customFormat="1"/>
    <row r="736" s="115" customFormat="1"/>
    <row r="737" s="115" customFormat="1"/>
    <row r="738" s="115" customFormat="1"/>
    <row r="739" s="115" customFormat="1"/>
    <row r="740" s="115" customFormat="1"/>
    <row r="741" s="115" customFormat="1"/>
    <row r="742" s="115" customFormat="1"/>
    <row r="743" s="115" customFormat="1"/>
    <row r="744" s="115" customFormat="1"/>
    <row r="745" s="115" customFormat="1"/>
    <row r="746" s="115" customFormat="1"/>
    <row r="747" s="115" customFormat="1"/>
    <row r="748" s="115" customFormat="1"/>
    <row r="749" s="115" customFormat="1"/>
    <row r="750" s="115" customFormat="1"/>
    <row r="751" s="115" customFormat="1"/>
    <row r="752" s="115" customFormat="1"/>
    <row r="753" s="115" customFormat="1"/>
    <row r="754" s="115" customFormat="1"/>
    <row r="755" s="115" customFormat="1"/>
    <row r="756" s="115" customFormat="1"/>
    <row r="757" s="115" customFormat="1"/>
    <row r="758" s="115" customFormat="1"/>
    <row r="759" s="115" customFormat="1"/>
    <row r="760" s="115" customFormat="1"/>
    <row r="761" s="115" customFormat="1"/>
    <row r="762" s="115" customFormat="1"/>
    <row r="763" s="115" customFormat="1"/>
    <row r="764" s="115" customFormat="1"/>
    <row r="765" s="115" customFormat="1"/>
    <row r="766" s="115" customFormat="1"/>
    <row r="767" s="115" customFormat="1"/>
    <row r="768" s="115" customFormat="1"/>
    <row r="769" s="115" customFormat="1"/>
    <row r="770" s="115" customFormat="1"/>
    <row r="771" s="115" customFormat="1"/>
    <row r="772" s="115" customFormat="1"/>
    <row r="773" s="115" customFormat="1"/>
    <row r="774" s="115" customFormat="1"/>
    <row r="775" s="115" customFormat="1"/>
    <row r="776" s="115" customFormat="1"/>
    <row r="777" s="115" customFormat="1"/>
    <row r="778" s="115" customFormat="1"/>
    <row r="779" s="115" customFormat="1"/>
    <row r="780" s="115" customFormat="1"/>
    <row r="781" s="115" customFormat="1"/>
    <row r="782" s="115" customFormat="1"/>
    <row r="783" s="115" customFormat="1"/>
    <row r="784" s="115" customFormat="1"/>
    <row r="785" s="115" customFormat="1"/>
    <row r="786" s="115" customFormat="1"/>
    <row r="787" s="115" customFormat="1"/>
    <row r="788" s="115" customFormat="1"/>
    <row r="789" s="115" customFormat="1"/>
    <row r="790" s="115" customFormat="1"/>
    <row r="791" s="115" customFormat="1"/>
    <row r="792" s="115" customFormat="1"/>
    <row r="793" s="115" customFormat="1"/>
    <row r="794" s="115" customFormat="1"/>
    <row r="795" s="115" customFormat="1"/>
    <row r="796" s="115" customFormat="1"/>
    <row r="797" s="115" customFormat="1"/>
    <row r="798" s="115" customFormat="1"/>
    <row r="799" s="115" customFormat="1"/>
    <row r="800" s="115" customFormat="1"/>
    <row r="801" s="115" customFormat="1"/>
    <row r="802" s="115" customFormat="1"/>
    <row r="803" s="115" customFormat="1"/>
    <row r="804" s="115" customFormat="1"/>
    <row r="805" s="115" customFormat="1"/>
    <row r="806" s="115" customFormat="1"/>
    <row r="807" s="115" customFormat="1"/>
    <row r="808" s="115" customFormat="1"/>
    <row r="809" s="115" customFormat="1"/>
    <row r="810" s="115" customFormat="1"/>
    <row r="811" s="115" customFormat="1"/>
    <row r="812" s="115" customFormat="1"/>
    <row r="813" s="115" customFormat="1"/>
    <row r="814" s="115" customFormat="1"/>
    <row r="815" s="115" customFormat="1"/>
    <row r="816" s="115" customFormat="1"/>
    <row r="817" s="115" customFormat="1"/>
    <row r="818" s="115" customFormat="1"/>
    <row r="819" s="115" customFormat="1"/>
    <row r="820" s="115" customFormat="1"/>
    <row r="821" s="115" customFormat="1"/>
    <row r="822" s="115" customFormat="1"/>
    <row r="823" s="115" customFormat="1"/>
    <row r="824" s="115" customFormat="1"/>
    <row r="825" s="115" customFormat="1"/>
    <row r="826" s="115" customFormat="1"/>
    <row r="827" s="115" customFormat="1"/>
    <row r="828" s="115" customFormat="1"/>
    <row r="829" s="115" customFormat="1"/>
    <row r="830" s="115" customFormat="1"/>
    <row r="831" s="115" customFormat="1"/>
    <row r="832" s="115" customFormat="1"/>
    <row r="833" s="115" customFormat="1"/>
    <row r="834" s="115" customFormat="1"/>
    <row r="835" s="115" customFormat="1"/>
    <row r="836" s="115" customFormat="1"/>
    <row r="837" s="115" customFormat="1"/>
    <row r="838" s="115" customFormat="1"/>
    <row r="839" s="115" customFormat="1"/>
    <row r="840" s="115" customFormat="1"/>
    <row r="841" s="115" customFormat="1"/>
    <row r="842" s="115" customFormat="1"/>
    <row r="843" s="115" customFormat="1"/>
    <row r="844" s="115" customFormat="1"/>
    <row r="845" s="115" customFormat="1"/>
    <row r="846" s="115" customFormat="1"/>
    <row r="847" s="115" customFormat="1"/>
    <row r="848" s="115" customFormat="1"/>
    <row r="849" s="115" customFormat="1"/>
    <row r="850" s="115" customFormat="1"/>
    <row r="851" s="115" customFormat="1"/>
    <row r="852" s="115" customFormat="1"/>
    <row r="853" s="115" customFormat="1"/>
    <row r="854" s="115" customFormat="1"/>
    <row r="855" s="115" customFormat="1"/>
    <row r="856" s="115" customFormat="1"/>
    <row r="857" s="115" customFormat="1"/>
    <row r="858" s="115" customFormat="1"/>
    <row r="859" s="115" customFormat="1"/>
    <row r="860" s="115" customFormat="1"/>
    <row r="861" s="115" customFormat="1"/>
    <row r="862" s="115" customFormat="1"/>
    <row r="863" s="115" customFormat="1"/>
    <row r="864" s="115" customFormat="1"/>
    <row r="865" s="115" customFormat="1"/>
    <row r="866" s="115" customFormat="1"/>
    <row r="867" s="115" customFormat="1"/>
    <row r="868" s="115" customFormat="1"/>
    <row r="869" s="115" customFormat="1"/>
    <row r="870" s="115" customFormat="1"/>
    <row r="871" s="115" customFormat="1"/>
    <row r="872" s="115" customFormat="1"/>
    <row r="873" s="115" customFormat="1"/>
    <row r="874" s="115" customFormat="1"/>
    <row r="875" s="115" customFormat="1"/>
    <row r="876" s="115" customFormat="1"/>
    <row r="877" s="115" customFormat="1"/>
    <row r="878" s="115" customFormat="1"/>
    <row r="879" s="115" customFormat="1"/>
    <row r="880" s="115" customFormat="1"/>
    <row r="881" s="115" customFormat="1"/>
    <row r="882" s="115" customFormat="1"/>
    <row r="883" s="115" customFormat="1"/>
    <row r="884" s="115" customFormat="1"/>
    <row r="885" s="115" customFormat="1"/>
    <row r="886" s="115" customFormat="1"/>
    <row r="887" s="115" customFormat="1"/>
    <row r="888" s="115" customFormat="1"/>
    <row r="889" s="115" customFormat="1"/>
    <row r="890" s="115" customFormat="1"/>
    <row r="891" s="115" customFormat="1"/>
    <row r="892" s="115" customFormat="1"/>
    <row r="893" s="115" customFormat="1"/>
    <row r="894" s="115" customFormat="1"/>
    <row r="895" s="115" customFormat="1"/>
    <row r="896" s="115" customFormat="1"/>
    <row r="897" s="115" customFormat="1"/>
    <row r="898" s="115" customFormat="1"/>
    <row r="899" s="115" customFormat="1"/>
    <row r="900" s="115" customFormat="1"/>
    <row r="901" s="115" customFormat="1"/>
    <row r="902" s="115" customFormat="1"/>
    <row r="903" s="115" customFormat="1"/>
    <row r="904" s="115" customFormat="1"/>
    <row r="905" s="115" customFormat="1"/>
    <row r="906" s="115" customFormat="1"/>
    <row r="907" s="115" customFormat="1"/>
    <row r="908" s="115" customFormat="1"/>
    <row r="909" s="115" customFormat="1"/>
    <row r="910" s="115" customFormat="1"/>
    <row r="911" s="115" customFormat="1"/>
    <row r="912" s="115" customFormat="1"/>
    <row r="913" s="115" customFormat="1"/>
    <row r="914" s="115" customFormat="1"/>
    <row r="915" s="115" customFormat="1"/>
    <row r="916" s="115" customFormat="1"/>
    <row r="917" s="115" customFormat="1"/>
    <row r="918" s="115" customFormat="1"/>
    <row r="919" s="115" customFormat="1"/>
    <row r="920" s="115" customFormat="1"/>
    <row r="921" s="115" customFormat="1"/>
    <row r="922" s="115" customFormat="1"/>
    <row r="923" s="115" customFormat="1"/>
    <row r="924" s="115" customFormat="1"/>
    <row r="925" s="115" customFormat="1"/>
    <row r="926" s="115" customFormat="1"/>
    <row r="927" s="115" customFormat="1"/>
    <row r="928" s="115" customFormat="1"/>
    <row r="929" s="115" customFormat="1"/>
    <row r="930" s="115" customFormat="1"/>
    <row r="931" s="115" customFormat="1"/>
    <row r="932" s="115" customFormat="1"/>
    <row r="933" s="115" customFormat="1"/>
    <row r="934" s="115" customFormat="1"/>
    <row r="935" s="115" customFormat="1"/>
    <row r="936" s="115" customFormat="1"/>
    <row r="937" s="115" customFormat="1"/>
    <row r="938" s="115" customFormat="1"/>
    <row r="939" s="115" customFormat="1"/>
    <row r="940" s="115" customFormat="1"/>
    <row r="941" s="115" customFormat="1"/>
    <row r="942" s="115" customFormat="1"/>
    <row r="943" s="115" customFormat="1"/>
    <row r="944" s="115" customFormat="1"/>
    <row r="945" s="115" customFormat="1"/>
    <row r="946" s="115" customFormat="1"/>
    <row r="947" s="115" customFormat="1"/>
    <row r="948" s="115" customFormat="1"/>
    <row r="949" s="115" customFormat="1"/>
    <row r="950" s="115" customFormat="1"/>
    <row r="951" s="115" customFormat="1"/>
    <row r="952" s="115" customFormat="1"/>
    <row r="953" s="115" customFormat="1"/>
    <row r="954" s="115" customFormat="1"/>
    <row r="955" s="115" customFormat="1"/>
    <row r="956" s="115" customFormat="1"/>
    <row r="957" s="115" customFormat="1"/>
    <row r="958" s="115" customFormat="1"/>
    <row r="959" s="115" customFormat="1"/>
    <row r="960" s="115" customFormat="1"/>
    <row r="961" s="115" customFormat="1"/>
    <row r="962" s="115" customFormat="1"/>
    <row r="963" s="115" customFormat="1"/>
    <row r="964" s="115" customFormat="1"/>
    <row r="965" s="115" customFormat="1"/>
    <row r="966" s="115" customFormat="1"/>
    <row r="967" s="115" customFormat="1"/>
    <row r="968" s="115" customFormat="1"/>
    <row r="969" s="115" customFormat="1"/>
    <row r="970" s="115" customFormat="1"/>
    <row r="971" s="115" customFormat="1"/>
    <row r="972" s="115" customFormat="1"/>
    <row r="973" s="115" customFormat="1"/>
    <row r="974" s="115" customFormat="1"/>
    <row r="975" s="115" customFormat="1"/>
    <row r="976" s="115" customFormat="1"/>
    <row r="977" s="115" customFormat="1"/>
    <row r="978" s="115" customFormat="1"/>
    <row r="979" s="115" customFormat="1"/>
    <row r="980" s="115" customFormat="1"/>
    <row r="981" s="115" customFormat="1"/>
    <row r="982" s="115" customFormat="1"/>
    <row r="983" s="115" customFormat="1"/>
    <row r="984" s="115" customFormat="1"/>
    <row r="985" s="115" customFormat="1"/>
    <row r="986" s="115" customFormat="1"/>
    <row r="987" s="115" customFormat="1"/>
    <row r="988" s="115" customFormat="1"/>
    <row r="989" s="115" customFormat="1"/>
    <row r="990" s="115" customFormat="1"/>
    <row r="991" s="115" customFormat="1"/>
    <row r="992" s="115" customFormat="1"/>
    <row r="993" s="115" customFormat="1"/>
    <row r="994" s="115" customFormat="1"/>
    <row r="995" s="115" customFormat="1"/>
    <row r="996" s="115" customFormat="1"/>
    <row r="997" s="115" customFormat="1"/>
  </sheetData>
  <mergeCells count="18">
    <mergeCell ref="A53:C53"/>
    <mergeCell ref="D18:D19"/>
    <mergeCell ref="E18:E19"/>
    <mergeCell ref="F18:I18"/>
    <mergeCell ref="Z18:Z19"/>
    <mergeCell ref="C18:C19"/>
    <mergeCell ref="AA18:AA19"/>
    <mergeCell ref="A46:C46"/>
    <mergeCell ref="A3:A4"/>
    <mergeCell ref="B3:B4"/>
    <mergeCell ref="D3:D4"/>
    <mergeCell ref="E3:E4"/>
    <mergeCell ref="F3:I3"/>
    <mergeCell ref="Y3:Y4"/>
    <mergeCell ref="Z3:Z4"/>
    <mergeCell ref="A18:A19"/>
    <mergeCell ref="B18:B19"/>
    <mergeCell ref="C3:C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EB39-AC2F-4F05-BDA6-FD37F8E46CD6}">
  <dimension ref="A1:AI997"/>
  <sheetViews>
    <sheetView topLeftCell="A3" workbookViewId="0">
      <selection activeCell="C3" sqref="C3:C15"/>
    </sheetView>
  </sheetViews>
  <sheetFormatPr defaultColWidth="12.453125" defaultRowHeight="13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69" t="s">
        <v>1</v>
      </c>
      <c r="B3" s="269" t="s">
        <v>2</v>
      </c>
      <c r="C3" s="280" t="s">
        <v>54</v>
      </c>
      <c r="D3" s="269" t="s">
        <v>3</v>
      </c>
      <c r="E3" s="269" t="s">
        <v>4</v>
      </c>
      <c r="F3" s="271" t="s">
        <v>5</v>
      </c>
      <c r="G3" s="270"/>
      <c r="H3" s="270"/>
      <c r="I3" s="270"/>
      <c r="J3" s="141">
        <f>C1</f>
        <v>46054</v>
      </c>
      <c r="K3" s="141">
        <f t="shared" ref="K3:X3" si="0">J3+1</f>
        <v>46055</v>
      </c>
      <c r="L3" s="141">
        <f t="shared" si="0"/>
        <v>46056</v>
      </c>
      <c r="M3" s="141">
        <f t="shared" si="0"/>
        <v>46057</v>
      </c>
      <c r="N3" s="141">
        <f t="shared" si="0"/>
        <v>46058</v>
      </c>
      <c r="O3" s="141">
        <f t="shared" si="0"/>
        <v>46059</v>
      </c>
      <c r="P3" s="141">
        <f t="shared" si="0"/>
        <v>46060</v>
      </c>
      <c r="Q3" s="141">
        <f t="shared" si="0"/>
        <v>46061</v>
      </c>
      <c r="R3" s="141">
        <f t="shared" si="0"/>
        <v>46062</v>
      </c>
      <c r="S3" s="141">
        <f t="shared" si="0"/>
        <v>46063</v>
      </c>
      <c r="T3" s="141">
        <f t="shared" si="0"/>
        <v>46064</v>
      </c>
      <c r="U3" s="141">
        <f t="shared" si="0"/>
        <v>46065</v>
      </c>
      <c r="V3" s="141">
        <f t="shared" si="0"/>
        <v>46066</v>
      </c>
      <c r="W3" s="141">
        <f t="shared" si="0"/>
        <v>46067</v>
      </c>
      <c r="X3" s="141">
        <f t="shared" si="0"/>
        <v>46068</v>
      </c>
      <c r="Y3" s="269" t="s">
        <v>6</v>
      </c>
      <c r="Z3" s="269" t="s">
        <v>7</v>
      </c>
      <c r="AA3" s="209"/>
      <c r="AB3" s="210"/>
      <c r="AC3" s="114"/>
    </row>
    <row r="4" spans="1:35" ht="27" customHeight="1" thickBot="1">
      <c r="A4" s="270"/>
      <c r="B4" s="270"/>
      <c r="C4" s="270"/>
      <c r="D4" s="270"/>
      <c r="E4" s="270"/>
      <c r="F4" s="219" t="s">
        <v>8</v>
      </c>
      <c r="G4" s="220" t="s">
        <v>9</v>
      </c>
      <c r="H4" s="165" t="s">
        <v>10</v>
      </c>
      <c r="I4" s="165" t="s">
        <v>11</v>
      </c>
      <c r="J4" s="221" t="str">
        <f t="shared" ref="J4:X4" si="1">IF(J3="","",TEXT(WEEKDAY(J3), "ddd"))</f>
        <v>Sun</v>
      </c>
      <c r="K4" s="127" t="str">
        <f t="shared" si="1"/>
        <v>Mon</v>
      </c>
      <c r="L4" s="127" t="str">
        <f t="shared" si="1"/>
        <v>Tue</v>
      </c>
      <c r="M4" s="222" t="str">
        <f t="shared" si="1"/>
        <v>Wed</v>
      </c>
      <c r="N4" s="222" t="str">
        <f t="shared" si="1"/>
        <v>Thu</v>
      </c>
      <c r="O4" s="221" t="str">
        <f t="shared" si="1"/>
        <v>Fri</v>
      </c>
      <c r="P4" s="221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22" t="str">
        <f t="shared" si="1"/>
        <v>Sun</v>
      </c>
      <c r="Y4" s="270"/>
      <c r="Z4" s="270"/>
      <c r="AA4" s="209"/>
      <c r="AB4" s="240" t="s">
        <v>12</v>
      </c>
      <c r="AC4" s="238"/>
      <c r="AD4" s="130"/>
      <c r="AE4" s="130"/>
      <c r="AF4" s="130"/>
      <c r="AG4" s="130"/>
      <c r="AH4" s="130"/>
    </row>
    <row r="5" spans="1:35" ht="12.75" customHeight="1">
      <c r="A5" s="131" t="s">
        <v>40</v>
      </c>
      <c r="B5" s="132" t="s">
        <v>47</v>
      </c>
      <c r="C5" s="281" t="s">
        <v>55</v>
      </c>
      <c r="D5" s="133">
        <v>43437</v>
      </c>
      <c r="E5" s="134">
        <f t="shared" ref="E5:E10" si="2">F5</f>
        <v>80</v>
      </c>
      <c r="F5" s="134">
        <f t="shared" ref="F5:F10" si="3">Z5*8</f>
        <v>80</v>
      </c>
      <c r="G5" s="134">
        <f t="shared" ref="G5:G10" si="4">H5+I5</f>
        <v>80</v>
      </c>
      <c r="H5" s="134">
        <f t="shared" ref="H5:H10" si="5">SUM(J5:X5)</f>
        <v>80</v>
      </c>
      <c r="I5" s="135">
        <v>0</v>
      </c>
      <c r="J5" s="245" t="s">
        <v>39</v>
      </c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45" t="s">
        <v>39</v>
      </c>
      <c r="Q5" s="245" t="s">
        <v>39</v>
      </c>
      <c r="R5" s="183">
        <v>8</v>
      </c>
      <c r="S5" s="207">
        <v>8</v>
      </c>
      <c r="T5" s="183">
        <v>8</v>
      </c>
      <c r="U5" s="207">
        <v>8</v>
      </c>
      <c r="V5" s="183">
        <v>8</v>
      </c>
      <c r="W5" s="245" t="s">
        <v>39</v>
      </c>
      <c r="X5" s="245" t="s">
        <v>39</v>
      </c>
      <c r="Y5" s="134"/>
      <c r="Z5" s="136">
        <v>10</v>
      </c>
      <c r="AA5" s="209"/>
      <c r="AB5" s="239" t="s">
        <v>15</v>
      </c>
      <c r="AC5" s="130"/>
      <c r="AD5" s="130"/>
      <c r="AE5" s="130"/>
      <c r="AF5" s="130"/>
      <c r="AG5" s="130"/>
      <c r="AH5" s="130"/>
    </row>
    <row r="6" spans="1:35" ht="12.75" customHeight="1">
      <c r="A6" s="131" t="s">
        <v>41</v>
      </c>
      <c r="B6" s="132" t="s">
        <v>47</v>
      </c>
      <c r="C6" s="281" t="s">
        <v>56</v>
      </c>
      <c r="D6" s="133">
        <v>45028</v>
      </c>
      <c r="E6" s="134">
        <f t="shared" si="2"/>
        <v>80</v>
      </c>
      <c r="F6" s="134">
        <f t="shared" si="3"/>
        <v>80</v>
      </c>
      <c r="G6" s="134">
        <f t="shared" si="4"/>
        <v>72</v>
      </c>
      <c r="H6" s="134">
        <f t="shared" si="5"/>
        <v>72</v>
      </c>
      <c r="I6" s="135">
        <v>0</v>
      </c>
      <c r="J6" s="245" t="s">
        <v>39</v>
      </c>
      <c r="K6" s="183">
        <v>8</v>
      </c>
      <c r="L6" s="183">
        <v>8</v>
      </c>
      <c r="M6" s="183">
        <v>8</v>
      </c>
      <c r="N6" s="183">
        <v>8</v>
      </c>
      <c r="O6" s="183">
        <v>8</v>
      </c>
      <c r="P6" s="245" t="s">
        <v>39</v>
      </c>
      <c r="Q6" s="245" t="s">
        <v>39</v>
      </c>
      <c r="R6" s="183">
        <v>8</v>
      </c>
      <c r="S6" s="183">
        <v>8</v>
      </c>
      <c r="T6" s="183">
        <v>8</v>
      </c>
      <c r="U6" s="183">
        <v>8</v>
      </c>
      <c r="V6" s="186"/>
      <c r="W6" s="245" t="s">
        <v>39</v>
      </c>
      <c r="X6" s="245" t="s">
        <v>39</v>
      </c>
      <c r="Y6" s="134">
        <v>1</v>
      </c>
      <c r="Z6" s="136">
        <v>10</v>
      </c>
      <c r="AA6" s="209"/>
      <c r="AB6" s="237" t="s">
        <v>6</v>
      </c>
      <c r="AC6" s="130"/>
      <c r="AD6" s="130"/>
      <c r="AE6" s="130"/>
      <c r="AF6" s="130"/>
      <c r="AG6" s="130"/>
      <c r="AH6" s="130"/>
    </row>
    <row r="7" spans="1:35" ht="12.75" customHeight="1">
      <c r="A7" s="131" t="s">
        <v>42</v>
      </c>
      <c r="B7" s="132" t="s">
        <v>47</v>
      </c>
      <c r="C7" s="281" t="s">
        <v>57</v>
      </c>
      <c r="D7" s="133">
        <v>43395</v>
      </c>
      <c r="E7" s="134">
        <f t="shared" si="2"/>
        <v>80</v>
      </c>
      <c r="F7" s="134">
        <f t="shared" si="3"/>
        <v>80</v>
      </c>
      <c r="G7" s="134">
        <f t="shared" si="4"/>
        <v>80</v>
      </c>
      <c r="H7" s="134">
        <f t="shared" si="5"/>
        <v>80</v>
      </c>
      <c r="I7" s="135">
        <v>0</v>
      </c>
      <c r="J7" s="245" t="s">
        <v>39</v>
      </c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45" t="s">
        <v>39</v>
      </c>
      <c r="Q7" s="245" t="s">
        <v>39</v>
      </c>
      <c r="R7" s="183">
        <v>8</v>
      </c>
      <c r="S7" s="183">
        <v>8</v>
      </c>
      <c r="T7" s="183">
        <v>8</v>
      </c>
      <c r="U7" s="183">
        <v>8</v>
      </c>
      <c r="V7" s="183">
        <v>8</v>
      </c>
      <c r="W7" s="245" t="s">
        <v>39</v>
      </c>
      <c r="X7" s="245" t="s">
        <v>39</v>
      </c>
      <c r="Y7" s="134"/>
      <c r="Z7" s="136">
        <v>10</v>
      </c>
      <c r="AA7" s="209"/>
      <c r="AB7" s="202" t="s">
        <v>18</v>
      </c>
      <c r="AC7" s="130"/>
      <c r="AD7" s="130"/>
      <c r="AE7" s="130"/>
      <c r="AF7" s="130"/>
      <c r="AG7" s="130"/>
      <c r="AH7" s="130"/>
    </row>
    <row r="8" spans="1:35" ht="12.75" customHeight="1">
      <c r="A8" s="131" t="s">
        <v>43</v>
      </c>
      <c r="B8" s="132" t="s">
        <v>47</v>
      </c>
      <c r="C8" s="281" t="s">
        <v>56</v>
      </c>
      <c r="D8" s="138">
        <v>43741</v>
      </c>
      <c r="E8" s="134">
        <f t="shared" si="2"/>
        <v>80</v>
      </c>
      <c r="F8" s="134">
        <f t="shared" si="3"/>
        <v>80</v>
      </c>
      <c r="G8" s="134">
        <f t="shared" si="4"/>
        <v>80</v>
      </c>
      <c r="H8" s="134">
        <f t="shared" si="5"/>
        <v>80</v>
      </c>
      <c r="I8" s="135">
        <v>0</v>
      </c>
      <c r="J8" s="245" t="s">
        <v>39</v>
      </c>
      <c r="K8" s="183">
        <v>8</v>
      </c>
      <c r="L8" s="243">
        <v>8</v>
      </c>
      <c r="M8" s="183">
        <v>8</v>
      </c>
      <c r="N8" s="243">
        <v>8</v>
      </c>
      <c r="O8" s="243">
        <v>8</v>
      </c>
      <c r="P8" s="245" t="s">
        <v>39</v>
      </c>
      <c r="Q8" s="245" t="s">
        <v>39</v>
      </c>
      <c r="R8" s="183">
        <v>8</v>
      </c>
      <c r="S8" s="183">
        <v>8</v>
      </c>
      <c r="T8" s="183">
        <v>8</v>
      </c>
      <c r="U8" s="183">
        <v>8</v>
      </c>
      <c r="V8" s="183">
        <v>8</v>
      </c>
      <c r="W8" s="245" t="s">
        <v>39</v>
      </c>
      <c r="X8" s="245" t="s">
        <v>39</v>
      </c>
      <c r="Y8" s="134"/>
      <c r="Z8" s="136">
        <v>10</v>
      </c>
      <c r="AA8" s="209"/>
      <c r="AB8" s="114"/>
      <c r="AC8" s="130"/>
      <c r="AD8" s="130"/>
      <c r="AE8" s="130"/>
      <c r="AF8" s="130"/>
      <c r="AG8" s="130"/>
      <c r="AH8" s="130"/>
    </row>
    <row r="9" spans="1:35" ht="12.75" customHeight="1">
      <c r="A9" s="139" t="s">
        <v>44</v>
      </c>
      <c r="B9" s="132" t="s">
        <v>47</v>
      </c>
      <c r="C9" s="281" t="s">
        <v>58</v>
      </c>
      <c r="D9" s="138">
        <v>43731</v>
      </c>
      <c r="E9" s="134">
        <v>40</v>
      </c>
      <c r="F9" s="134">
        <v>40</v>
      </c>
      <c r="G9" s="134">
        <f t="shared" si="4"/>
        <v>40</v>
      </c>
      <c r="H9" s="134">
        <f t="shared" si="5"/>
        <v>40</v>
      </c>
      <c r="I9" s="135">
        <v>0</v>
      </c>
      <c r="J9" s="245" t="s">
        <v>39</v>
      </c>
      <c r="K9" s="241">
        <v>4</v>
      </c>
      <c r="L9" s="183">
        <v>4</v>
      </c>
      <c r="M9" s="241">
        <v>4</v>
      </c>
      <c r="N9" s="183">
        <v>4</v>
      </c>
      <c r="O9" s="183">
        <v>4</v>
      </c>
      <c r="P9" s="245" t="s">
        <v>39</v>
      </c>
      <c r="Q9" s="245" t="s">
        <v>39</v>
      </c>
      <c r="R9" s="183">
        <v>4</v>
      </c>
      <c r="S9" s="183">
        <v>4</v>
      </c>
      <c r="T9" s="183">
        <v>4</v>
      </c>
      <c r="U9" s="207">
        <v>4</v>
      </c>
      <c r="V9" s="207">
        <v>4</v>
      </c>
      <c r="W9" s="245" t="s">
        <v>39</v>
      </c>
      <c r="X9" s="245" t="s">
        <v>39</v>
      </c>
      <c r="Y9" s="134"/>
      <c r="Z9" s="136">
        <v>10</v>
      </c>
      <c r="AA9" s="209"/>
      <c r="AB9" s="114"/>
      <c r="AC9" s="130"/>
      <c r="AD9" s="130"/>
      <c r="AE9" s="130"/>
      <c r="AF9" s="130"/>
      <c r="AG9" s="130"/>
      <c r="AH9" s="130"/>
    </row>
    <row r="10" spans="1:35" ht="12.75" customHeight="1">
      <c r="A10" s="139" t="s">
        <v>45</v>
      </c>
      <c r="B10" s="132" t="s">
        <v>47</v>
      </c>
      <c r="C10" s="281" t="s">
        <v>59</v>
      </c>
      <c r="D10" s="138">
        <v>45628</v>
      </c>
      <c r="E10" s="134">
        <f t="shared" si="2"/>
        <v>80</v>
      </c>
      <c r="F10" s="134">
        <f t="shared" si="3"/>
        <v>80</v>
      </c>
      <c r="G10" s="134">
        <f t="shared" si="4"/>
        <v>80</v>
      </c>
      <c r="H10" s="134">
        <f t="shared" si="5"/>
        <v>80</v>
      </c>
      <c r="I10" s="135">
        <v>0</v>
      </c>
      <c r="J10" s="245" t="s">
        <v>39</v>
      </c>
      <c r="K10" s="241">
        <v>8</v>
      </c>
      <c r="L10" s="241">
        <v>8</v>
      </c>
      <c r="M10" s="241">
        <v>8</v>
      </c>
      <c r="N10" s="241">
        <v>8</v>
      </c>
      <c r="O10" s="241">
        <v>8</v>
      </c>
      <c r="P10" s="245" t="s">
        <v>39</v>
      </c>
      <c r="Q10" s="245" t="s">
        <v>39</v>
      </c>
      <c r="R10" s="241">
        <v>8</v>
      </c>
      <c r="S10" s="241">
        <v>8</v>
      </c>
      <c r="T10" s="241">
        <v>8</v>
      </c>
      <c r="U10" s="241">
        <v>8</v>
      </c>
      <c r="V10" s="241">
        <v>8</v>
      </c>
      <c r="W10" s="245" t="s">
        <v>39</v>
      </c>
      <c r="X10" s="245" t="s">
        <v>39</v>
      </c>
      <c r="Y10" s="134"/>
      <c r="Z10" s="136">
        <v>10</v>
      </c>
      <c r="AA10" s="209"/>
      <c r="AB10" s="114"/>
      <c r="AC10" s="130"/>
      <c r="AD10" s="130"/>
      <c r="AE10" s="130"/>
      <c r="AF10" s="130"/>
      <c r="AG10" s="130"/>
      <c r="AH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34">
        <f t="shared" ref="Y11:Y14" si="6">Z11-COUNTA(J11:X11)</f>
        <v>10</v>
      </c>
      <c r="Z11" s="135">
        <f t="shared" ref="Z11:Z14" si="7">NETWORKDAYS($J$3,$X$3,$X$3)</f>
        <v>10</v>
      </c>
      <c r="AA11" s="209"/>
      <c r="AB11" s="114"/>
      <c r="AC11" s="130"/>
      <c r="AD11" s="130"/>
      <c r="AE11" s="130"/>
      <c r="AF11" s="130"/>
      <c r="AG11" s="130"/>
      <c r="AH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34">
        <f t="shared" si="6"/>
        <v>10</v>
      </c>
      <c r="Z12" s="135">
        <f t="shared" si="7"/>
        <v>10</v>
      </c>
      <c r="AA12" s="209"/>
      <c r="AB12" s="114"/>
      <c r="AC12" s="130"/>
      <c r="AD12" s="130"/>
      <c r="AE12" s="130"/>
      <c r="AF12" s="130"/>
      <c r="AG12" s="130"/>
      <c r="AH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34">
        <f t="shared" si="6"/>
        <v>10</v>
      </c>
      <c r="Z13" s="135">
        <f t="shared" si="7"/>
        <v>10</v>
      </c>
      <c r="AA13" s="209"/>
      <c r="AB13" s="114"/>
      <c r="AC13" s="130"/>
      <c r="AD13" s="130"/>
      <c r="AE13" s="130"/>
      <c r="AF13" s="130"/>
      <c r="AG13" s="130"/>
      <c r="AH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34">
        <f t="shared" si="6"/>
        <v>10</v>
      </c>
      <c r="Z14" s="135">
        <f t="shared" si="7"/>
        <v>10</v>
      </c>
      <c r="AA14" s="209"/>
      <c r="AB14" s="114"/>
      <c r="AC14" s="130"/>
      <c r="AD14" s="130"/>
      <c r="AE14" s="130"/>
      <c r="AF14" s="130"/>
      <c r="AG14" s="130"/>
      <c r="AH14" s="130"/>
    </row>
    <row r="15" spans="1:35" ht="12.75" customHeight="1">
      <c r="A15" s="223"/>
      <c r="B15" s="223"/>
      <c r="C15" s="229"/>
      <c r="D15" s="223"/>
      <c r="E15" s="224">
        <f t="shared" ref="E15:X15" si="8">SUM(E5:E14)</f>
        <v>440</v>
      </c>
      <c r="F15" s="224">
        <f t="shared" si="8"/>
        <v>440</v>
      </c>
      <c r="G15" s="224">
        <f t="shared" si="8"/>
        <v>432</v>
      </c>
      <c r="H15" s="224">
        <f t="shared" si="8"/>
        <v>432</v>
      </c>
      <c r="I15" s="224">
        <f t="shared" si="8"/>
        <v>0</v>
      </c>
      <c r="J15" s="224">
        <f t="shared" si="8"/>
        <v>0</v>
      </c>
      <c r="K15" s="224">
        <f t="shared" si="8"/>
        <v>44</v>
      </c>
      <c r="L15" s="224">
        <f t="shared" si="8"/>
        <v>44</v>
      </c>
      <c r="M15" s="224">
        <f t="shared" si="8"/>
        <v>44</v>
      </c>
      <c r="N15" s="224">
        <f t="shared" si="8"/>
        <v>44</v>
      </c>
      <c r="O15" s="224">
        <f t="shared" si="8"/>
        <v>44</v>
      </c>
      <c r="P15" s="224">
        <f t="shared" si="8"/>
        <v>0</v>
      </c>
      <c r="Q15" s="224">
        <f t="shared" si="8"/>
        <v>0</v>
      </c>
      <c r="R15" s="224">
        <f t="shared" si="8"/>
        <v>44</v>
      </c>
      <c r="S15" s="224">
        <f t="shared" si="8"/>
        <v>44</v>
      </c>
      <c r="T15" s="224">
        <f t="shared" si="8"/>
        <v>44</v>
      </c>
      <c r="U15" s="224">
        <f t="shared" si="8"/>
        <v>44</v>
      </c>
      <c r="V15" s="224">
        <f t="shared" si="8"/>
        <v>36</v>
      </c>
      <c r="W15" s="224">
        <f t="shared" si="8"/>
        <v>0</v>
      </c>
      <c r="X15" s="224">
        <f t="shared" si="8"/>
        <v>0</v>
      </c>
      <c r="Y15" s="224"/>
      <c r="Z15" s="224"/>
      <c r="AA15" s="209"/>
      <c r="AB15" s="114"/>
      <c r="AC15" s="130"/>
      <c r="AD15" s="130"/>
      <c r="AE15" s="130"/>
      <c r="AF15" s="130"/>
      <c r="AG15" s="130"/>
      <c r="AH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9" t="s">
        <v>1</v>
      </c>
      <c r="B18" s="269" t="s">
        <v>2</v>
      </c>
      <c r="C18" s="280" t="s">
        <v>54</v>
      </c>
      <c r="D18" s="280" t="s">
        <v>3</v>
      </c>
      <c r="E18" s="269" t="s">
        <v>4</v>
      </c>
      <c r="F18" s="271" t="s">
        <v>5</v>
      </c>
      <c r="G18" s="270"/>
      <c r="H18" s="270"/>
      <c r="I18" s="270"/>
      <c r="J18" s="141">
        <f>X3+1</f>
        <v>46069</v>
      </c>
      <c r="K18" s="141">
        <f t="shared" ref="K18:V18" si="9">J18+1</f>
        <v>46070</v>
      </c>
      <c r="L18" s="141">
        <f t="shared" si="9"/>
        <v>46071</v>
      </c>
      <c r="M18" s="141">
        <f t="shared" si="9"/>
        <v>46072</v>
      </c>
      <c r="N18" s="141">
        <f t="shared" si="9"/>
        <v>46073</v>
      </c>
      <c r="O18" s="141">
        <f t="shared" si="9"/>
        <v>46074</v>
      </c>
      <c r="P18" s="141">
        <f t="shared" si="9"/>
        <v>46075</v>
      </c>
      <c r="Q18" s="141">
        <f t="shared" si="9"/>
        <v>46076</v>
      </c>
      <c r="R18" s="141">
        <f t="shared" si="9"/>
        <v>46077</v>
      </c>
      <c r="S18" s="141">
        <f t="shared" si="9"/>
        <v>46078</v>
      </c>
      <c r="T18" s="141">
        <f t="shared" si="9"/>
        <v>46079</v>
      </c>
      <c r="U18" s="141">
        <f t="shared" si="9"/>
        <v>46080</v>
      </c>
      <c r="V18" s="141">
        <f t="shared" si="9"/>
        <v>46081</v>
      </c>
      <c r="W18" s="141"/>
      <c r="X18" s="141"/>
      <c r="Y18" s="141"/>
      <c r="Z18" s="269" t="s">
        <v>6</v>
      </c>
      <c r="AA18" s="269" t="s">
        <v>7</v>
      </c>
      <c r="AB18" s="209"/>
      <c r="AC18" s="114"/>
    </row>
    <row r="19" spans="1:29" ht="26.25" customHeight="1">
      <c r="A19" s="270"/>
      <c r="B19" s="270"/>
      <c r="C19" s="270"/>
      <c r="D19" s="270"/>
      <c r="E19" s="270"/>
      <c r="F19" s="219" t="s">
        <v>8</v>
      </c>
      <c r="G19" s="220" t="s">
        <v>9</v>
      </c>
      <c r="H19" s="165" t="s">
        <v>10</v>
      </c>
      <c r="I19" s="165" t="s">
        <v>11</v>
      </c>
      <c r="J19" s="222" t="str">
        <f t="shared" ref="J19:V19" si="10">IF(J18="","",TEXT(WEEKDAY(J18), "ddd"))</f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222" t="str">
        <f t="shared" si="10"/>
        <v>Sun</v>
      </c>
      <c r="Q19" s="127" t="str">
        <f t="shared" si="10"/>
        <v>Mon</v>
      </c>
      <c r="R19" s="127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222"/>
      <c r="X19" s="222"/>
      <c r="Y19" s="222"/>
      <c r="Z19" s="270"/>
      <c r="AA19" s="270"/>
      <c r="AB19" s="209"/>
      <c r="AC19" s="114"/>
    </row>
    <row r="20" spans="1:29" ht="12.75" customHeight="1">
      <c r="A20" s="131" t="s">
        <v>40</v>
      </c>
      <c r="B20" s="132" t="s">
        <v>47</v>
      </c>
      <c r="C20" s="281" t="s">
        <v>55</v>
      </c>
      <c r="D20" s="133">
        <v>43437</v>
      </c>
      <c r="E20" s="134">
        <f t="shared" ref="E20:E25" si="11">F20</f>
        <v>80</v>
      </c>
      <c r="F20" s="134">
        <f t="shared" ref="F20:F25" si="12">AA20*8</f>
        <v>80</v>
      </c>
      <c r="G20" s="134">
        <f t="shared" ref="G20:G25" si="13">H20+I20</f>
        <v>80</v>
      </c>
      <c r="H20" s="134">
        <f t="shared" ref="H20:H25" si="14">SUM(J20:Y20)</f>
        <v>80</v>
      </c>
      <c r="I20" s="135">
        <v>0</v>
      </c>
      <c r="J20" s="180">
        <v>8</v>
      </c>
      <c r="K20" s="183">
        <v>8</v>
      </c>
      <c r="L20" s="180">
        <v>8</v>
      </c>
      <c r="M20" s="183">
        <v>8</v>
      </c>
      <c r="N20" s="180">
        <v>8</v>
      </c>
      <c r="O20" s="245" t="s">
        <v>39</v>
      </c>
      <c r="P20" s="245" t="s">
        <v>39</v>
      </c>
      <c r="Q20" s="180">
        <v>8</v>
      </c>
      <c r="R20" s="183">
        <v>8</v>
      </c>
      <c r="S20" s="207">
        <v>8</v>
      </c>
      <c r="T20" s="207">
        <v>8</v>
      </c>
      <c r="U20" s="180">
        <v>8</v>
      </c>
      <c r="V20" s="245" t="s">
        <v>39</v>
      </c>
      <c r="W20" s="183"/>
      <c r="X20" s="183"/>
      <c r="Y20" s="180"/>
      <c r="Z20" s="134"/>
      <c r="AA20" s="136">
        <v>10</v>
      </c>
      <c r="AB20" s="209"/>
      <c r="AC20" s="114"/>
    </row>
    <row r="21" spans="1:29" ht="12.75" customHeight="1">
      <c r="A21" s="131" t="s">
        <v>41</v>
      </c>
      <c r="B21" s="132" t="s">
        <v>47</v>
      </c>
      <c r="C21" s="281" t="s">
        <v>56</v>
      </c>
      <c r="D21" s="133">
        <v>45028</v>
      </c>
      <c r="E21" s="134">
        <f t="shared" si="11"/>
        <v>80</v>
      </c>
      <c r="F21" s="134">
        <f t="shared" si="12"/>
        <v>80</v>
      </c>
      <c r="G21" s="134">
        <f t="shared" si="13"/>
        <v>72</v>
      </c>
      <c r="H21" s="134">
        <f t="shared" si="14"/>
        <v>72</v>
      </c>
      <c r="I21" s="135">
        <v>0</v>
      </c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45" t="s">
        <v>39</v>
      </c>
      <c r="P21" s="245" t="s">
        <v>39</v>
      </c>
      <c r="Q21" s="207">
        <v>8</v>
      </c>
      <c r="R21" s="186"/>
      <c r="S21" s="207">
        <v>8</v>
      </c>
      <c r="T21" s="207">
        <v>8</v>
      </c>
      <c r="U21" s="180">
        <v>8</v>
      </c>
      <c r="V21" s="245" t="s">
        <v>39</v>
      </c>
      <c r="W21" s="180"/>
      <c r="X21" s="180"/>
      <c r="Y21" s="180"/>
      <c r="Z21" s="134">
        <v>1</v>
      </c>
      <c r="AA21" s="136">
        <v>10</v>
      </c>
      <c r="AB21" s="209"/>
      <c r="AC21" s="114"/>
    </row>
    <row r="22" spans="1:29" ht="12.75" customHeight="1">
      <c r="A22" s="131" t="s">
        <v>42</v>
      </c>
      <c r="B22" s="132" t="s">
        <v>47</v>
      </c>
      <c r="C22" s="281" t="s">
        <v>57</v>
      </c>
      <c r="D22" s="133">
        <v>43395</v>
      </c>
      <c r="E22" s="134">
        <f t="shared" si="11"/>
        <v>80</v>
      </c>
      <c r="F22" s="134">
        <f t="shared" si="12"/>
        <v>80</v>
      </c>
      <c r="G22" s="134">
        <f t="shared" si="13"/>
        <v>80</v>
      </c>
      <c r="H22" s="134">
        <f t="shared" si="14"/>
        <v>80</v>
      </c>
      <c r="I22" s="135">
        <v>0</v>
      </c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245" t="s">
        <v>39</v>
      </c>
      <c r="P22" s="245" t="s">
        <v>39</v>
      </c>
      <c r="Q22" s="180">
        <v>8</v>
      </c>
      <c r="R22" s="180">
        <v>8</v>
      </c>
      <c r="S22" s="207">
        <v>8</v>
      </c>
      <c r="T22" s="207">
        <v>8</v>
      </c>
      <c r="U22" s="180">
        <v>8</v>
      </c>
      <c r="V22" s="245" t="s">
        <v>39</v>
      </c>
      <c r="W22" s="180"/>
      <c r="X22" s="180"/>
      <c r="Y22" s="180"/>
      <c r="Z22" s="134"/>
      <c r="AA22" s="136">
        <v>10</v>
      </c>
      <c r="AB22" s="209"/>
      <c r="AC22" s="114"/>
    </row>
    <row r="23" spans="1:29" ht="12.75" customHeight="1">
      <c r="A23" s="131" t="s">
        <v>43</v>
      </c>
      <c r="B23" s="132" t="s">
        <v>47</v>
      </c>
      <c r="C23" s="281" t="s">
        <v>56</v>
      </c>
      <c r="D23" s="138">
        <v>43741</v>
      </c>
      <c r="E23" s="134">
        <f t="shared" si="11"/>
        <v>80</v>
      </c>
      <c r="F23" s="134">
        <f t="shared" si="12"/>
        <v>80</v>
      </c>
      <c r="G23" s="134">
        <f t="shared" si="13"/>
        <v>80</v>
      </c>
      <c r="H23" s="134">
        <f t="shared" si="14"/>
        <v>80</v>
      </c>
      <c r="I23" s="135">
        <v>0</v>
      </c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45" t="s">
        <v>39</v>
      </c>
      <c r="P23" s="245" t="s">
        <v>39</v>
      </c>
      <c r="Q23" s="183">
        <v>8</v>
      </c>
      <c r="R23" s="180">
        <v>8</v>
      </c>
      <c r="S23" s="207">
        <v>8</v>
      </c>
      <c r="T23" s="207">
        <v>8</v>
      </c>
      <c r="U23" s="207">
        <v>8</v>
      </c>
      <c r="V23" s="245" t="s">
        <v>39</v>
      </c>
      <c r="W23" s="180"/>
      <c r="X23" s="183"/>
      <c r="Y23" s="180"/>
      <c r="Z23" s="134"/>
      <c r="AA23" s="136">
        <v>10</v>
      </c>
      <c r="AB23" s="209"/>
      <c r="AC23" s="114"/>
    </row>
    <row r="24" spans="1:29" ht="12.75" customHeight="1">
      <c r="A24" s="139" t="s">
        <v>44</v>
      </c>
      <c r="B24" s="132" t="s">
        <v>47</v>
      </c>
      <c r="C24" s="281" t="s">
        <v>58</v>
      </c>
      <c r="D24" s="138">
        <v>43731</v>
      </c>
      <c r="E24" s="134">
        <v>40</v>
      </c>
      <c r="F24" s="134">
        <v>40</v>
      </c>
      <c r="G24" s="134">
        <f t="shared" si="13"/>
        <v>40</v>
      </c>
      <c r="H24" s="134">
        <f t="shared" si="14"/>
        <v>40</v>
      </c>
      <c r="I24" s="135">
        <v>0</v>
      </c>
      <c r="J24" s="180">
        <v>4</v>
      </c>
      <c r="K24" s="180">
        <v>4</v>
      </c>
      <c r="L24" s="180">
        <v>4</v>
      </c>
      <c r="M24" s="207">
        <v>4</v>
      </c>
      <c r="N24" s="207">
        <v>4</v>
      </c>
      <c r="O24" s="245" t="s">
        <v>39</v>
      </c>
      <c r="P24" s="245" t="s">
        <v>39</v>
      </c>
      <c r="Q24" s="140">
        <v>4</v>
      </c>
      <c r="R24" s="207">
        <v>4</v>
      </c>
      <c r="S24" s="207">
        <v>4</v>
      </c>
      <c r="T24" s="207">
        <v>4</v>
      </c>
      <c r="U24" s="207">
        <v>4</v>
      </c>
      <c r="V24" s="245" t="s">
        <v>39</v>
      </c>
      <c r="W24" s="207"/>
      <c r="X24" s="207"/>
      <c r="Y24" s="180"/>
      <c r="Z24" s="134">
        <v>2</v>
      </c>
      <c r="AA24" s="136">
        <v>10</v>
      </c>
      <c r="AB24" s="209"/>
      <c r="AC24" s="114"/>
    </row>
    <row r="25" spans="1:29" ht="12.75" customHeight="1">
      <c r="A25" s="139" t="s">
        <v>45</v>
      </c>
      <c r="B25" s="132" t="s">
        <v>47</v>
      </c>
      <c r="C25" s="281" t="s">
        <v>59</v>
      </c>
      <c r="D25" s="138">
        <v>45628</v>
      </c>
      <c r="E25" s="134">
        <f t="shared" si="11"/>
        <v>80</v>
      </c>
      <c r="F25" s="134">
        <f t="shared" si="12"/>
        <v>80</v>
      </c>
      <c r="G25" s="134">
        <f t="shared" si="13"/>
        <v>80</v>
      </c>
      <c r="H25" s="134">
        <f t="shared" si="14"/>
        <v>80</v>
      </c>
      <c r="I25" s="135">
        <v>0</v>
      </c>
      <c r="J25" s="241">
        <v>8</v>
      </c>
      <c r="K25" s="241">
        <v>8</v>
      </c>
      <c r="L25" s="241">
        <v>8</v>
      </c>
      <c r="M25" s="241">
        <v>8</v>
      </c>
      <c r="N25" s="254">
        <v>8</v>
      </c>
      <c r="O25" s="245" t="s">
        <v>39</v>
      </c>
      <c r="P25" s="245" t="s">
        <v>39</v>
      </c>
      <c r="Q25" s="241">
        <v>8</v>
      </c>
      <c r="R25" s="241">
        <v>8</v>
      </c>
      <c r="S25" s="207">
        <v>8</v>
      </c>
      <c r="T25" s="207">
        <v>8</v>
      </c>
      <c r="U25" s="241">
        <v>8</v>
      </c>
      <c r="V25" s="245" t="s">
        <v>39</v>
      </c>
      <c r="W25" s="241"/>
      <c r="X25" s="241"/>
      <c r="Y25" s="241"/>
      <c r="Z25" s="134"/>
      <c r="AA25" s="136">
        <v>10</v>
      </c>
      <c r="AB25" s="209"/>
      <c r="AC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5">SUM(D20:D29)</f>
        <v>264960</v>
      </c>
      <c r="E30" s="224">
        <f t="shared" si="15"/>
        <v>440</v>
      </c>
      <c r="F30" s="224">
        <f t="shared" si="15"/>
        <v>440</v>
      </c>
      <c r="G30" s="224">
        <f t="shared" si="15"/>
        <v>432</v>
      </c>
      <c r="H30" s="224">
        <f t="shared" si="15"/>
        <v>432</v>
      </c>
      <c r="I30" s="224">
        <f t="shared" si="15"/>
        <v>0</v>
      </c>
      <c r="J30" s="224">
        <f t="shared" si="15"/>
        <v>44</v>
      </c>
      <c r="K30" s="224">
        <f t="shared" si="15"/>
        <v>44</v>
      </c>
      <c r="L30" s="224">
        <f t="shared" si="15"/>
        <v>44</v>
      </c>
      <c r="M30" s="224">
        <f t="shared" si="15"/>
        <v>44</v>
      </c>
      <c r="N30" s="224">
        <f t="shared" si="15"/>
        <v>44</v>
      </c>
      <c r="O30" s="224">
        <f t="shared" si="15"/>
        <v>0</v>
      </c>
      <c r="P30" s="224">
        <f t="shared" si="15"/>
        <v>0</v>
      </c>
      <c r="Q30" s="224">
        <f t="shared" si="15"/>
        <v>44</v>
      </c>
      <c r="R30" s="224">
        <f t="shared" si="15"/>
        <v>36</v>
      </c>
      <c r="S30" s="224">
        <f t="shared" si="15"/>
        <v>44</v>
      </c>
      <c r="T30" s="224">
        <f t="shared" si="15"/>
        <v>44</v>
      </c>
      <c r="U30" s="224">
        <f t="shared" si="15"/>
        <v>44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6" t="s">
        <v>25</v>
      </c>
      <c r="E33" s="246" t="s">
        <v>38</v>
      </c>
      <c r="F33" s="120"/>
      <c r="G33" s="120"/>
      <c r="H33" s="120"/>
      <c r="I33" s="120"/>
      <c r="J33" s="120"/>
      <c r="K33" s="118"/>
      <c r="L33" s="118"/>
      <c r="M33" s="118"/>
      <c r="N33" s="118"/>
      <c r="O33" s="118"/>
      <c r="P33" s="118"/>
      <c r="Q33" s="120"/>
      <c r="R33" s="120"/>
      <c r="S33" s="120"/>
      <c r="T33" s="120"/>
      <c r="U33" s="120"/>
      <c r="V33" s="120"/>
      <c r="W33" s="120"/>
      <c r="X33" s="120"/>
      <c r="Y33" s="120"/>
      <c r="Z33" s="148"/>
      <c r="AA33" s="120"/>
      <c r="AB33" s="114"/>
    </row>
    <row r="34" spans="1:29" ht="13.5" customHeight="1">
      <c r="A34" s="131" t="s">
        <v>40</v>
      </c>
      <c r="B34" s="153">
        <f>G5+G20</f>
        <v>160</v>
      </c>
      <c r="C34" s="154">
        <f>F5+F20</f>
        <v>160</v>
      </c>
      <c r="D34" s="247">
        <f t="shared" ref="D34:D39" si="16">B34</f>
        <v>160</v>
      </c>
      <c r="E34" s="250">
        <v>33</v>
      </c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</row>
    <row r="35" spans="1:29" ht="13.5" customHeight="1">
      <c r="A35" s="131" t="s">
        <v>41</v>
      </c>
      <c r="B35" s="153">
        <f>G6+G21</f>
        <v>144</v>
      </c>
      <c r="C35" s="154">
        <f>F6+F21</f>
        <v>160</v>
      </c>
      <c r="D35" s="247">
        <f t="shared" si="16"/>
        <v>144</v>
      </c>
      <c r="E35" s="250">
        <v>32</v>
      </c>
      <c r="F35" s="114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48"/>
      <c r="AA35" s="120"/>
      <c r="AB35" s="114"/>
    </row>
    <row r="36" spans="1:29" ht="13.5" customHeight="1">
      <c r="A36" s="131" t="s">
        <v>42</v>
      </c>
      <c r="B36" s="153">
        <f>G7+G22</f>
        <v>160</v>
      </c>
      <c r="C36" s="154">
        <f>F7+F22</f>
        <v>160</v>
      </c>
      <c r="D36" s="247">
        <f t="shared" si="16"/>
        <v>160</v>
      </c>
      <c r="E36" s="250">
        <v>38</v>
      </c>
      <c r="F36" s="114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48"/>
      <c r="AA36" s="120"/>
      <c r="AB36" s="114"/>
    </row>
    <row r="37" spans="1:29" ht="13.5" customHeight="1">
      <c r="A37" s="131" t="s">
        <v>43</v>
      </c>
      <c r="B37" s="153">
        <f>G8+G23</f>
        <v>160</v>
      </c>
      <c r="C37" s="154">
        <f>F8+F23</f>
        <v>160</v>
      </c>
      <c r="D37" s="247">
        <f t="shared" si="16"/>
        <v>160</v>
      </c>
      <c r="E37" s="250">
        <v>28</v>
      </c>
      <c r="F37" s="114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48"/>
      <c r="AA37" s="120"/>
      <c r="AB37" s="114"/>
    </row>
    <row r="38" spans="1:29" ht="13.5" customHeight="1">
      <c r="A38" s="139" t="s">
        <v>44</v>
      </c>
      <c r="B38" s="216">
        <f>G9+G24</f>
        <v>80</v>
      </c>
      <c r="C38" s="217">
        <f>F9+F24</f>
        <v>80</v>
      </c>
      <c r="D38" s="248">
        <f t="shared" si="16"/>
        <v>80</v>
      </c>
      <c r="E38" s="250">
        <v>34</v>
      </c>
      <c r="F38" s="114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48"/>
      <c r="AA38" s="120"/>
      <c r="AB38" s="114"/>
    </row>
    <row r="39" spans="1:29" ht="13.5" customHeight="1" thickBot="1">
      <c r="A39" s="139" t="s">
        <v>45</v>
      </c>
      <c r="B39" s="158">
        <f>H10+H25</f>
        <v>160</v>
      </c>
      <c r="C39" s="159">
        <f>F10+F25</f>
        <v>160</v>
      </c>
      <c r="D39" s="249">
        <f t="shared" si="16"/>
        <v>160</v>
      </c>
      <c r="E39" s="250">
        <v>33</v>
      </c>
      <c r="F39" s="114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48"/>
      <c r="AA39" s="120"/>
      <c r="AB39" s="114"/>
    </row>
    <row r="40" spans="1:29" ht="13.5" hidden="1" customHeight="1">
      <c r="A40" s="211"/>
      <c r="B40" s="212">
        <f>H11+G26</f>
        <v>0</v>
      </c>
      <c r="C40" s="213">
        <f t="shared" ref="C40:D43" si="17">B40</f>
        <v>0</v>
      </c>
      <c r="D40" s="214">
        <f t="shared" si="17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H12+G27</f>
        <v>0</v>
      </c>
      <c r="C41" s="154">
        <f t="shared" si="17"/>
        <v>0</v>
      </c>
      <c r="D41" s="155">
        <f t="shared" si="17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H13+G28</f>
        <v>0</v>
      </c>
      <c r="C42" s="154">
        <f t="shared" si="17"/>
        <v>0</v>
      </c>
      <c r="D42" s="155">
        <f t="shared" si="17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H14+G29</f>
        <v>0</v>
      </c>
      <c r="C43" s="159">
        <f t="shared" si="17"/>
        <v>0</v>
      </c>
      <c r="D43" s="160">
        <f t="shared" si="17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3" t="s">
        <v>0</v>
      </c>
      <c r="B46" s="264"/>
      <c r="C46" s="26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 thickBot="1">
      <c r="A50" s="157" t="s">
        <v>31</v>
      </c>
      <c r="B50" s="172">
        <f t="shared" ref="B50:C50" si="18">B48-B49</f>
        <v>10</v>
      </c>
      <c r="C50" s="173">
        <f t="shared" si="18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 thickBo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3" t="s">
        <v>22</v>
      </c>
      <c r="B53" s="264"/>
      <c r="C53" s="26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19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19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 thickBot="1">
      <c r="A57" s="176" t="s">
        <v>31</v>
      </c>
      <c r="B57" s="172">
        <f t="shared" ref="B57:C57" si="20">B55-B56</f>
        <v>12</v>
      </c>
      <c r="C57" s="173">
        <f t="shared" si="20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 thickBo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 thickBo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/>
    <row r="261" s="115" customFormat="1"/>
    <row r="262" s="115" customFormat="1"/>
    <row r="263" s="115" customFormat="1"/>
    <row r="264" s="115" customFormat="1"/>
    <row r="265" s="115" customFormat="1"/>
    <row r="266" s="115" customFormat="1"/>
    <row r="267" s="115" customFormat="1"/>
    <row r="268" s="115" customFormat="1"/>
    <row r="269" s="115" customFormat="1"/>
    <row r="270" s="115" customFormat="1"/>
    <row r="271" s="115" customFormat="1"/>
    <row r="272" s="115" customFormat="1"/>
    <row r="273" s="115" customFormat="1"/>
    <row r="274" s="115" customFormat="1"/>
    <row r="275" s="115" customFormat="1"/>
    <row r="276" s="115" customFormat="1"/>
    <row r="277" s="115" customFormat="1"/>
    <row r="278" s="115" customFormat="1"/>
    <row r="279" s="115" customFormat="1"/>
    <row r="280" s="115" customFormat="1"/>
    <row r="281" s="115" customFormat="1"/>
    <row r="282" s="115" customFormat="1"/>
    <row r="283" s="115" customFormat="1"/>
    <row r="284" s="115" customFormat="1"/>
    <row r="285" s="115" customFormat="1"/>
    <row r="286" s="115" customFormat="1"/>
    <row r="287" s="115" customFormat="1"/>
    <row r="288" s="115" customFormat="1"/>
    <row r="289" s="115" customFormat="1"/>
    <row r="290" s="115" customFormat="1"/>
    <row r="291" s="115" customFormat="1"/>
    <row r="292" s="115" customFormat="1"/>
    <row r="293" s="115" customFormat="1"/>
    <row r="294" s="115" customFormat="1"/>
    <row r="295" s="115" customFormat="1"/>
    <row r="296" s="115" customFormat="1"/>
    <row r="297" s="115" customFormat="1"/>
    <row r="298" s="115" customFormat="1"/>
    <row r="299" s="115" customFormat="1"/>
    <row r="300" s="115" customFormat="1"/>
    <row r="301" s="115" customFormat="1"/>
    <row r="302" s="115" customFormat="1"/>
    <row r="303" s="115" customFormat="1"/>
    <row r="304" s="115" customFormat="1"/>
    <row r="305" s="115" customFormat="1"/>
    <row r="306" s="115" customFormat="1"/>
    <row r="307" s="115" customFormat="1"/>
    <row r="308" s="115" customFormat="1"/>
    <row r="309" s="115" customFormat="1"/>
    <row r="310" s="115" customFormat="1"/>
    <row r="311" s="115" customFormat="1"/>
    <row r="312" s="115" customFormat="1"/>
    <row r="313" s="115" customFormat="1"/>
    <row r="314" s="115" customFormat="1"/>
    <row r="315" s="115" customFormat="1"/>
    <row r="316" s="115" customFormat="1"/>
    <row r="317" s="115" customFormat="1"/>
    <row r="318" s="115" customFormat="1"/>
    <row r="319" s="115" customFormat="1"/>
    <row r="320" s="115" customFormat="1"/>
    <row r="321" s="115" customFormat="1"/>
    <row r="322" s="115" customFormat="1"/>
    <row r="323" s="115" customFormat="1"/>
    <row r="324" s="115" customFormat="1"/>
    <row r="325" s="115" customFormat="1"/>
    <row r="326" s="115" customFormat="1"/>
    <row r="327" s="115" customFormat="1"/>
    <row r="328" s="115" customFormat="1"/>
    <row r="329" s="115" customFormat="1"/>
    <row r="330" s="115" customFormat="1"/>
    <row r="331" s="115" customFormat="1"/>
    <row r="332" s="115" customFormat="1"/>
    <row r="333" s="115" customFormat="1"/>
    <row r="334" s="115" customFormat="1"/>
    <row r="335" s="115" customFormat="1"/>
    <row r="336" s="115" customFormat="1"/>
    <row r="337" s="115" customFormat="1"/>
    <row r="338" s="115" customFormat="1"/>
    <row r="339" s="115" customFormat="1"/>
    <row r="340" s="115" customFormat="1"/>
    <row r="341" s="115" customFormat="1"/>
    <row r="342" s="115" customFormat="1"/>
    <row r="343" s="115" customFormat="1"/>
    <row r="344" s="115" customFormat="1"/>
    <row r="345" s="115" customFormat="1"/>
    <row r="346" s="115" customFormat="1"/>
    <row r="347" s="115" customFormat="1"/>
    <row r="348" s="115" customFormat="1"/>
    <row r="349" s="115" customFormat="1"/>
    <row r="350" s="115" customFormat="1"/>
    <row r="351" s="115" customFormat="1"/>
    <row r="352" s="115" customFormat="1"/>
    <row r="353" s="115" customFormat="1"/>
    <row r="354" s="115" customFormat="1"/>
    <row r="355" s="115" customFormat="1"/>
    <row r="356" s="115" customFormat="1"/>
    <row r="357" s="115" customFormat="1"/>
    <row r="358" s="115" customFormat="1"/>
    <row r="359" s="115" customFormat="1"/>
    <row r="360" s="115" customFormat="1"/>
    <row r="361" s="115" customFormat="1"/>
    <row r="362" s="115" customFormat="1"/>
    <row r="363" s="115" customFormat="1"/>
    <row r="364" s="115" customFormat="1"/>
    <row r="365" s="115" customFormat="1"/>
    <row r="366" s="115" customFormat="1"/>
    <row r="367" s="115" customFormat="1"/>
    <row r="368" s="115" customFormat="1"/>
    <row r="369" s="115" customFormat="1"/>
    <row r="370" s="115" customFormat="1"/>
    <row r="371" s="115" customFormat="1"/>
    <row r="372" s="115" customFormat="1"/>
    <row r="373" s="115" customFormat="1"/>
    <row r="374" s="115" customFormat="1"/>
    <row r="375" s="115" customFormat="1"/>
    <row r="376" s="115" customFormat="1"/>
    <row r="377" s="115" customFormat="1"/>
    <row r="378" s="115" customFormat="1"/>
    <row r="379" s="115" customFormat="1"/>
    <row r="380" s="115" customFormat="1"/>
    <row r="381" s="115" customFormat="1"/>
    <row r="382" s="115" customFormat="1"/>
    <row r="383" s="115" customFormat="1"/>
    <row r="384" s="115" customFormat="1"/>
    <row r="385" s="115" customFormat="1"/>
    <row r="386" s="115" customFormat="1"/>
    <row r="387" s="115" customFormat="1"/>
    <row r="388" s="115" customFormat="1"/>
    <row r="389" s="115" customFormat="1"/>
    <row r="390" s="115" customFormat="1"/>
    <row r="391" s="115" customFormat="1"/>
    <row r="392" s="115" customFormat="1"/>
    <row r="393" s="115" customFormat="1"/>
    <row r="394" s="115" customFormat="1"/>
    <row r="395" s="115" customFormat="1"/>
    <row r="396" s="115" customFormat="1"/>
    <row r="397" s="115" customFormat="1"/>
    <row r="398" s="115" customFormat="1"/>
    <row r="399" s="115" customFormat="1"/>
    <row r="400" s="115" customFormat="1"/>
    <row r="401" s="115" customFormat="1"/>
    <row r="402" s="115" customFormat="1"/>
    <row r="403" s="115" customFormat="1"/>
    <row r="404" s="115" customFormat="1"/>
    <row r="405" s="115" customFormat="1"/>
    <row r="406" s="115" customFormat="1"/>
    <row r="407" s="115" customFormat="1"/>
    <row r="408" s="115" customFormat="1"/>
    <row r="409" s="115" customFormat="1"/>
    <row r="410" s="115" customFormat="1"/>
    <row r="411" s="115" customFormat="1"/>
    <row r="412" s="115" customFormat="1"/>
    <row r="413" s="115" customFormat="1"/>
    <row r="414" s="115" customFormat="1"/>
    <row r="415" s="115" customFormat="1"/>
    <row r="416" s="115" customFormat="1"/>
    <row r="417" s="115" customFormat="1"/>
    <row r="418" s="115" customFormat="1"/>
    <row r="419" s="115" customFormat="1"/>
    <row r="420" s="115" customFormat="1"/>
    <row r="421" s="115" customFormat="1"/>
    <row r="422" s="115" customFormat="1"/>
    <row r="423" s="115" customFormat="1"/>
    <row r="424" s="115" customFormat="1"/>
    <row r="425" s="115" customFormat="1"/>
    <row r="426" s="115" customFormat="1"/>
    <row r="427" s="115" customFormat="1"/>
    <row r="428" s="115" customFormat="1"/>
    <row r="429" s="115" customFormat="1"/>
    <row r="430" s="115" customFormat="1"/>
    <row r="431" s="115" customFormat="1"/>
    <row r="432" s="115" customFormat="1"/>
    <row r="433" s="115" customFormat="1"/>
    <row r="434" s="115" customFormat="1"/>
    <row r="435" s="115" customFormat="1"/>
    <row r="436" s="115" customFormat="1"/>
    <row r="437" s="115" customFormat="1"/>
    <row r="438" s="115" customFormat="1"/>
    <row r="439" s="115" customFormat="1"/>
    <row r="440" s="115" customFormat="1"/>
    <row r="441" s="115" customFormat="1"/>
    <row r="442" s="115" customFormat="1"/>
    <row r="443" s="115" customFormat="1"/>
    <row r="444" s="115" customFormat="1"/>
    <row r="445" s="115" customFormat="1"/>
    <row r="446" s="115" customFormat="1"/>
    <row r="447" s="115" customFormat="1"/>
    <row r="448" s="115" customFormat="1"/>
    <row r="449" s="115" customFormat="1"/>
    <row r="450" s="115" customFormat="1"/>
    <row r="451" s="115" customFormat="1"/>
    <row r="452" s="115" customFormat="1"/>
    <row r="453" s="115" customFormat="1"/>
    <row r="454" s="115" customFormat="1"/>
    <row r="455" s="115" customFormat="1"/>
    <row r="456" s="115" customFormat="1"/>
    <row r="457" s="115" customFormat="1"/>
    <row r="458" s="115" customFormat="1"/>
    <row r="459" s="115" customFormat="1"/>
    <row r="460" s="115" customFormat="1"/>
    <row r="461" s="115" customFormat="1"/>
    <row r="462" s="115" customFormat="1"/>
    <row r="463" s="115" customFormat="1"/>
    <row r="464" s="115" customFormat="1"/>
    <row r="465" s="115" customFormat="1"/>
    <row r="466" s="115" customFormat="1"/>
    <row r="467" s="115" customFormat="1"/>
    <row r="468" s="115" customFormat="1"/>
    <row r="469" s="115" customFormat="1"/>
    <row r="470" s="115" customFormat="1"/>
    <row r="471" s="115" customFormat="1"/>
    <row r="472" s="115" customFormat="1"/>
    <row r="473" s="115" customFormat="1"/>
    <row r="474" s="115" customFormat="1"/>
    <row r="475" s="115" customFormat="1"/>
    <row r="476" s="115" customFormat="1"/>
    <row r="477" s="115" customFormat="1"/>
    <row r="478" s="115" customFormat="1"/>
    <row r="479" s="115" customFormat="1"/>
    <row r="480" s="115" customFormat="1"/>
    <row r="481" s="115" customFormat="1"/>
    <row r="482" s="115" customFormat="1"/>
    <row r="483" s="115" customFormat="1"/>
    <row r="484" s="115" customFormat="1"/>
    <row r="485" s="115" customFormat="1"/>
    <row r="486" s="115" customFormat="1"/>
    <row r="487" s="115" customFormat="1"/>
    <row r="488" s="115" customFormat="1"/>
    <row r="489" s="115" customFormat="1"/>
    <row r="490" s="115" customFormat="1"/>
    <row r="491" s="115" customFormat="1"/>
    <row r="492" s="115" customFormat="1"/>
    <row r="493" s="115" customFormat="1"/>
    <row r="494" s="115" customFormat="1"/>
    <row r="495" s="115" customFormat="1"/>
    <row r="496" s="115" customFormat="1"/>
    <row r="497" s="115" customFormat="1"/>
    <row r="498" s="115" customFormat="1"/>
    <row r="499" s="115" customFormat="1"/>
    <row r="500" s="115" customFormat="1"/>
    <row r="501" s="115" customFormat="1"/>
    <row r="502" s="115" customFormat="1"/>
    <row r="503" s="115" customFormat="1"/>
    <row r="504" s="115" customFormat="1"/>
    <row r="505" s="115" customFormat="1"/>
    <row r="506" s="115" customFormat="1"/>
    <row r="507" s="115" customFormat="1"/>
    <row r="508" s="115" customFormat="1"/>
    <row r="509" s="115" customFormat="1"/>
    <row r="510" s="115" customFormat="1"/>
    <row r="511" s="115" customFormat="1"/>
    <row r="512" s="115" customFormat="1"/>
    <row r="513" s="115" customFormat="1"/>
    <row r="514" s="115" customFormat="1"/>
    <row r="515" s="115" customFormat="1"/>
    <row r="516" s="115" customFormat="1"/>
    <row r="517" s="115" customFormat="1"/>
    <row r="518" s="115" customFormat="1"/>
    <row r="519" s="115" customFormat="1"/>
    <row r="520" s="115" customFormat="1"/>
    <row r="521" s="115" customFormat="1"/>
    <row r="522" s="115" customFormat="1"/>
    <row r="523" s="115" customFormat="1"/>
    <row r="524" s="115" customFormat="1"/>
    <row r="525" s="115" customFormat="1"/>
    <row r="526" s="115" customFormat="1"/>
    <row r="527" s="115" customFormat="1"/>
    <row r="528" s="115" customFormat="1"/>
    <row r="529" s="115" customFormat="1"/>
    <row r="530" s="115" customFormat="1"/>
    <row r="531" s="115" customFormat="1"/>
    <row r="532" s="115" customFormat="1"/>
    <row r="533" s="115" customFormat="1"/>
    <row r="534" s="115" customFormat="1"/>
    <row r="535" s="115" customFormat="1"/>
    <row r="536" s="115" customFormat="1"/>
    <row r="537" s="115" customFormat="1"/>
    <row r="538" s="115" customFormat="1"/>
    <row r="539" s="115" customFormat="1"/>
    <row r="540" s="115" customFormat="1"/>
    <row r="541" s="115" customFormat="1"/>
    <row r="542" s="115" customFormat="1"/>
    <row r="543" s="115" customFormat="1"/>
    <row r="544" s="115" customFormat="1"/>
    <row r="545" s="115" customFormat="1"/>
    <row r="546" s="115" customFormat="1"/>
    <row r="547" s="115" customFormat="1"/>
    <row r="548" s="115" customFormat="1"/>
    <row r="549" s="115" customFormat="1"/>
    <row r="550" s="115" customFormat="1"/>
    <row r="551" s="115" customFormat="1"/>
    <row r="552" s="115" customFormat="1"/>
    <row r="553" s="115" customFormat="1"/>
    <row r="554" s="115" customFormat="1"/>
    <row r="555" s="115" customFormat="1"/>
    <row r="556" s="115" customFormat="1"/>
    <row r="557" s="115" customFormat="1"/>
    <row r="558" s="115" customFormat="1"/>
    <row r="559" s="115" customFormat="1"/>
    <row r="560" s="115" customFormat="1"/>
    <row r="561" s="115" customFormat="1"/>
    <row r="562" s="115" customFormat="1"/>
    <row r="563" s="115" customFormat="1"/>
    <row r="564" s="115" customFormat="1"/>
    <row r="565" s="115" customFormat="1"/>
    <row r="566" s="115" customFormat="1"/>
    <row r="567" s="115" customFormat="1"/>
    <row r="568" s="115" customFormat="1"/>
    <row r="569" s="115" customFormat="1"/>
    <row r="570" s="115" customFormat="1"/>
    <row r="571" s="115" customFormat="1"/>
    <row r="572" s="115" customFormat="1"/>
    <row r="573" s="115" customFormat="1"/>
    <row r="574" s="115" customFormat="1"/>
    <row r="575" s="115" customFormat="1"/>
    <row r="576" s="115" customFormat="1"/>
    <row r="577" s="115" customFormat="1"/>
    <row r="578" s="115" customFormat="1"/>
    <row r="579" s="115" customFormat="1"/>
    <row r="580" s="115" customFormat="1"/>
    <row r="581" s="115" customFormat="1"/>
    <row r="582" s="115" customFormat="1"/>
    <row r="583" s="115" customFormat="1"/>
    <row r="584" s="115" customFormat="1"/>
    <row r="585" s="115" customFormat="1"/>
    <row r="586" s="115" customFormat="1"/>
    <row r="587" s="115" customFormat="1"/>
    <row r="588" s="115" customFormat="1"/>
    <row r="589" s="115" customFormat="1"/>
    <row r="590" s="115" customFormat="1"/>
    <row r="591" s="115" customFormat="1"/>
    <row r="592" s="115" customFormat="1"/>
    <row r="593" s="115" customFormat="1"/>
    <row r="594" s="115" customFormat="1"/>
    <row r="595" s="115" customFormat="1"/>
    <row r="596" s="115" customFormat="1"/>
    <row r="597" s="115" customFormat="1"/>
    <row r="598" s="115" customFormat="1"/>
    <row r="599" s="115" customFormat="1"/>
    <row r="600" s="115" customFormat="1"/>
    <row r="601" s="115" customFormat="1"/>
    <row r="602" s="115" customFormat="1"/>
    <row r="603" s="115" customFormat="1"/>
    <row r="604" s="115" customFormat="1"/>
    <row r="605" s="115" customFormat="1"/>
    <row r="606" s="115" customFormat="1"/>
    <row r="607" s="115" customFormat="1"/>
    <row r="608" s="115" customFormat="1"/>
    <row r="609" s="115" customFormat="1"/>
    <row r="610" s="115" customFormat="1"/>
    <row r="611" s="115" customFormat="1"/>
    <row r="612" s="115" customFormat="1"/>
    <row r="613" s="115" customFormat="1"/>
    <row r="614" s="115" customFormat="1"/>
    <row r="615" s="115" customFormat="1"/>
    <row r="616" s="115" customFormat="1"/>
    <row r="617" s="115" customFormat="1"/>
    <row r="618" s="115" customFormat="1"/>
    <row r="619" s="115" customFormat="1"/>
    <row r="620" s="115" customFormat="1"/>
    <row r="621" s="115" customFormat="1"/>
    <row r="622" s="115" customFormat="1"/>
    <row r="623" s="115" customFormat="1"/>
    <row r="624" s="115" customFormat="1"/>
    <row r="625" s="115" customFormat="1"/>
    <row r="626" s="115" customFormat="1"/>
    <row r="627" s="115" customFormat="1"/>
    <row r="628" s="115" customFormat="1"/>
    <row r="629" s="115" customFormat="1"/>
    <row r="630" s="115" customFormat="1"/>
    <row r="631" s="115" customFormat="1"/>
    <row r="632" s="115" customFormat="1"/>
    <row r="633" s="115" customFormat="1"/>
    <row r="634" s="115" customFormat="1"/>
    <row r="635" s="115" customFormat="1"/>
    <row r="636" s="115" customFormat="1"/>
    <row r="637" s="115" customFormat="1"/>
    <row r="638" s="115" customFormat="1"/>
    <row r="639" s="115" customFormat="1"/>
    <row r="640" s="115" customFormat="1"/>
    <row r="641" s="115" customFormat="1"/>
    <row r="642" s="115" customFormat="1"/>
    <row r="643" s="115" customFormat="1"/>
    <row r="644" s="115" customFormat="1"/>
    <row r="645" s="115" customFormat="1"/>
    <row r="646" s="115" customFormat="1"/>
    <row r="647" s="115" customFormat="1"/>
    <row r="648" s="115" customFormat="1"/>
    <row r="649" s="115" customFormat="1"/>
    <row r="650" s="115" customFormat="1"/>
    <row r="651" s="115" customFormat="1"/>
    <row r="652" s="115" customFormat="1"/>
    <row r="653" s="115" customFormat="1"/>
    <row r="654" s="115" customFormat="1"/>
    <row r="655" s="115" customFormat="1"/>
    <row r="656" s="115" customFormat="1"/>
    <row r="657" s="115" customFormat="1"/>
    <row r="658" s="115" customFormat="1"/>
    <row r="659" s="115" customFormat="1"/>
    <row r="660" s="115" customFormat="1"/>
    <row r="661" s="115" customFormat="1"/>
    <row r="662" s="115" customFormat="1"/>
    <row r="663" s="115" customFormat="1"/>
    <row r="664" s="115" customFormat="1"/>
    <row r="665" s="115" customFormat="1"/>
    <row r="666" s="115" customFormat="1"/>
    <row r="667" s="115" customFormat="1"/>
    <row r="668" s="115" customFormat="1"/>
    <row r="669" s="115" customFormat="1"/>
    <row r="670" s="115" customFormat="1"/>
    <row r="671" s="115" customFormat="1"/>
    <row r="672" s="115" customFormat="1"/>
    <row r="673" s="115" customFormat="1"/>
    <row r="674" s="115" customFormat="1"/>
    <row r="675" s="115" customFormat="1"/>
    <row r="676" s="115" customFormat="1"/>
    <row r="677" s="115" customFormat="1"/>
    <row r="678" s="115" customFormat="1"/>
    <row r="679" s="115" customFormat="1"/>
    <row r="680" s="115" customFormat="1"/>
    <row r="681" s="115" customFormat="1"/>
    <row r="682" s="115" customFormat="1"/>
    <row r="683" s="115" customFormat="1"/>
    <row r="684" s="115" customFormat="1"/>
    <row r="685" s="115" customFormat="1"/>
    <row r="686" s="115" customFormat="1"/>
    <row r="687" s="115" customFormat="1"/>
    <row r="688" s="115" customFormat="1"/>
    <row r="689" s="115" customFormat="1"/>
    <row r="690" s="115" customFormat="1"/>
    <row r="691" s="115" customFormat="1"/>
    <row r="692" s="115" customFormat="1"/>
    <row r="693" s="115" customFormat="1"/>
    <row r="694" s="115" customFormat="1"/>
    <row r="695" s="115" customFormat="1"/>
    <row r="696" s="115" customFormat="1"/>
    <row r="697" s="115" customFormat="1"/>
    <row r="698" s="115" customFormat="1"/>
    <row r="699" s="115" customFormat="1"/>
    <row r="700" s="115" customFormat="1"/>
    <row r="701" s="115" customFormat="1"/>
    <row r="702" s="115" customFormat="1"/>
    <row r="703" s="115" customFormat="1"/>
    <row r="704" s="115" customFormat="1"/>
    <row r="705" s="115" customFormat="1"/>
    <row r="706" s="115" customFormat="1"/>
    <row r="707" s="115" customFormat="1"/>
    <row r="708" s="115" customFormat="1"/>
    <row r="709" s="115" customFormat="1"/>
    <row r="710" s="115" customFormat="1"/>
    <row r="711" s="115" customFormat="1"/>
    <row r="712" s="115" customFormat="1"/>
    <row r="713" s="115" customFormat="1"/>
    <row r="714" s="115" customFormat="1"/>
    <row r="715" s="115" customFormat="1"/>
    <row r="716" s="115" customFormat="1"/>
    <row r="717" s="115" customFormat="1"/>
    <row r="718" s="115" customFormat="1"/>
    <row r="719" s="115" customFormat="1"/>
    <row r="720" s="115" customFormat="1"/>
    <row r="721" s="115" customFormat="1"/>
    <row r="722" s="115" customFormat="1"/>
    <row r="723" s="115" customFormat="1"/>
    <row r="724" s="115" customFormat="1"/>
    <row r="725" s="115" customFormat="1"/>
    <row r="726" s="115" customFormat="1"/>
    <row r="727" s="115" customFormat="1"/>
    <row r="728" s="115" customFormat="1"/>
    <row r="729" s="115" customFormat="1"/>
    <row r="730" s="115" customFormat="1"/>
    <row r="731" s="115" customFormat="1"/>
    <row r="732" s="115" customFormat="1"/>
    <row r="733" s="115" customFormat="1"/>
    <row r="734" s="115" customFormat="1"/>
    <row r="735" s="115" customFormat="1"/>
    <row r="736" s="115" customFormat="1"/>
    <row r="737" s="115" customFormat="1"/>
    <row r="738" s="115" customFormat="1"/>
    <row r="739" s="115" customFormat="1"/>
    <row r="740" s="115" customFormat="1"/>
    <row r="741" s="115" customFormat="1"/>
    <row r="742" s="115" customFormat="1"/>
    <row r="743" s="115" customFormat="1"/>
    <row r="744" s="115" customFormat="1"/>
    <row r="745" s="115" customFormat="1"/>
    <row r="746" s="115" customFormat="1"/>
    <row r="747" s="115" customFormat="1"/>
    <row r="748" s="115" customFormat="1"/>
    <row r="749" s="115" customFormat="1"/>
    <row r="750" s="115" customFormat="1"/>
    <row r="751" s="115" customFormat="1"/>
    <row r="752" s="115" customFormat="1"/>
    <row r="753" s="115" customFormat="1"/>
    <row r="754" s="115" customFormat="1"/>
    <row r="755" s="115" customFormat="1"/>
    <row r="756" s="115" customFormat="1"/>
    <row r="757" s="115" customFormat="1"/>
    <row r="758" s="115" customFormat="1"/>
    <row r="759" s="115" customFormat="1"/>
    <row r="760" s="115" customFormat="1"/>
    <row r="761" s="115" customFormat="1"/>
    <row r="762" s="115" customFormat="1"/>
    <row r="763" s="115" customFormat="1"/>
    <row r="764" s="115" customFormat="1"/>
    <row r="765" s="115" customFormat="1"/>
    <row r="766" s="115" customFormat="1"/>
    <row r="767" s="115" customFormat="1"/>
    <row r="768" s="115" customFormat="1"/>
    <row r="769" s="115" customFormat="1"/>
    <row r="770" s="115" customFormat="1"/>
    <row r="771" s="115" customFormat="1"/>
    <row r="772" s="115" customFormat="1"/>
    <row r="773" s="115" customFormat="1"/>
    <row r="774" s="115" customFormat="1"/>
    <row r="775" s="115" customFormat="1"/>
    <row r="776" s="115" customFormat="1"/>
    <row r="777" s="115" customFormat="1"/>
    <row r="778" s="115" customFormat="1"/>
    <row r="779" s="115" customFormat="1"/>
    <row r="780" s="115" customFormat="1"/>
    <row r="781" s="115" customFormat="1"/>
    <row r="782" s="115" customFormat="1"/>
    <row r="783" s="115" customFormat="1"/>
    <row r="784" s="115" customFormat="1"/>
    <row r="785" s="115" customFormat="1"/>
    <row r="786" s="115" customFormat="1"/>
    <row r="787" s="115" customFormat="1"/>
    <row r="788" s="115" customFormat="1"/>
    <row r="789" s="115" customFormat="1"/>
    <row r="790" s="115" customFormat="1"/>
    <row r="791" s="115" customFormat="1"/>
    <row r="792" s="115" customFormat="1"/>
    <row r="793" s="115" customFormat="1"/>
    <row r="794" s="115" customFormat="1"/>
    <row r="795" s="115" customFormat="1"/>
    <row r="796" s="115" customFormat="1"/>
    <row r="797" s="115" customFormat="1"/>
    <row r="798" s="115" customFormat="1"/>
    <row r="799" s="115" customFormat="1"/>
    <row r="800" s="115" customFormat="1"/>
    <row r="801" s="115" customFormat="1"/>
    <row r="802" s="115" customFormat="1"/>
    <row r="803" s="115" customFormat="1"/>
    <row r="804" s="115" customFormat="1"/>
    <row r="805" s="115" customFormat="1"/>
    <row r="806" s="115" customFormat="1"/>
    <row r="807" s="115" customFormat="1"/>
    <row r="808" s="115" customFormat="1"/>
    <row r="809" s="115" customFormat="1"/>
    <row r="810" s="115" customFormat="1"/>
    <row r="811" s="115" customFormat="1"/>
    <row r="812" s="115" customFormat="1"/>
    <row r="813" s="115" customFormat="1"/>
    <row r="814" s="115" customFormat="1"/>
    <row r="815" s="115" customFormat="1"/>
    <row r="816" s="115" customFormat="1"/>
    <row r="817" s="115" customFormat="1"/>
    <row r="818" s="115" customFormat="1"/>
    <row r="819" s="115" customFormat="1"/>
    <row r="820" s="115" customFormat="1"/>
    <row r="821" s="115" customFormat="1"/>
    <row r="822" s="115" customFormat="1"/>
    <row r="823" s="115" customFormat="1"/>
    <row r="824" s="115" customFormat="1"/>
    <row r="825" s="115" customFormat="1"/>
    <row r="826" s="115" customFormat="1"/>
    <row r="827" s="115" customFormat="1"/>
    <row r="828" s="115" customFormat="1"/>
    <row r="829" s="115" customFormat="1"/>
    <row r="830" s="115" customFormat="1"/>
    <row r="831" s="115" customFormat="1"/>
    <row r="832" s="115" customFormat="1"/>
    <row r="833" s="115" customFormat="1"/>
    <row r="834" s="115" customFormat="1"/>
    <row r="835" s="115" customFormat="1"/>
    <row r="836" s="115" customFormat="1"/>
    <row r="837" s="115" customFormat="1"/>
    <row r="838" s="115" customFormat="1"/>
    <row r="839" s="115" customFormat="1"/>
    <row r="840" s="115" customFormat="1"/>
    <row r="841" s="115" customFormat="1"/>
    <row r="842" s="115" customFormat="1"/>
    <row r="843" s="115" customFormat="1"/>
    <row r="844" s="115" customFormat="1"/>
    <row r="845" s="115" customFormat="1"/>
    <row r="846" s="115" customFormat="1"/>
    <row r="847" s="115" customFormat="1"/>
    <row r="848" s="115" customFormat="1"/>
    <row r="849" s="115" customFormat="1"/>
    <row r="850" s="115" customFormat="1"/>
    <row r="851" s="115" customFormat="1"/>
    <row r="852" s="115" customFormat="1"/>
    <row r="853" s="115" customFormat="1"/>
    <row r="854" s="115" customFormat="1"/>
    <row r="855" s="115" customFormat="1"/>
    <row r="856" s="115" customFormat="1"/>
    <row r="857" s="115" customFormat="1"/>
    <row r="858" s="115" customFormat="1"/>
    <row r="859" s="115" customFormat="1"/>
    <row r="860" s="115" customFormat="1"/>
    <row r="861" s="115" customFormat="1"/>
    <row r="862" s="115" customFormat="1"/>
    <row r="863" s="115" customFormat="1"/>
    <row r="864" s="115" customFormat="1"/>
    <row r="865" s="115" customFormat="1"/>
    <row r="866" s="115" customFormat="1"/>
    <row r="867" s="115" customFormat="1"/>
    <row r="868" s="115" customFormat="1"/>
    <row r="869" s="115" customFormat="1"/>
    <row r="870" s="115" customFormat="1"/>
    <row r="871" s="115" customFormat="1"/>
    <row r="872" s="115" customFormat="1"/>
    <row r="873" s="115" customFormat="1"/>
    <row r="874" s="115" customFormat="1"/>
    <row r="875" s="115" customFormat="1"/>
    <row r="876" s="115" customFormat="1"/>
    <row r="877" s="115" customFormat="1"/>
    <row r="878" s="115" customFormat="1"/>
    <row r="879" s="115" customFormat="1"/>
    <row r="880" s="115" customFormat="1"/>
    <row r="881" s="115" customFormat="1"/>
    <row r="882" s="115" customFormat="1"/>
    <row r="883" s="115" customFormat="1"/>
    <row r="884" s="115" customFormat="1"/>
    <row r="885" s="115" customFormat="1"/>
    <row r="886" s="115" customFormat="1"/>
    <row r="887" s="115" customFormat="1"/>
    <row r="888" s="115" customFormat="1"/>
    <row r="889" s="115" customFormat="1"/>
    <row r="890" s="115" customFormat="1"/>
    <row r="891" s="115" customFormat="1"/>
    <row r="892" s="115" customFormat="1"/>
    <row r="893" s="115" customFormat="1"/>
    <row r="894" s="115" customFormat="1"/>
    <row r="895" s="115" customFormat="1"/>
    <row r="896" s="115" customFormat="1"/>
    <row r="897" s="115" customFormat="1"/>
    <row r="898" s="115" customFormat="1"/>
    <row r="899" s="115" customFormat="1"/>
    <row r="900" s="115" customFormat="1"/>
    <row r="901" s="115" customFormat="1"/>
    <row r="902" s="115" customFormat="1"/>
    <row r="903" s="115" customFormat="1"/>
    <row r="904" s="115" customFormat="1"/>
    <row r="905" s="115" customFormat="1"/>
    <row r="906" s="115" customFormat="1"/>
    <row r="907" s="115" customFormat="1"/>
    <row r="908" s="115" customFormat="1"/>
    <row r="909" s="115" customFormat="1"/>
    <row r="910" s="115" customFormat="1"/>
    <row r="911" s="115" customFormat="1"/>
    <row r="912" s="115" customFormat="1"/>
    <row r="913" s="115" customFormat="1"/>
    <row r="914" s="115" customFormat="1"/>
    <row r="915" s="115" customFormat="1"/>
    <row r="916" s="115" customFormat="1"/>
    <row r="917" s="115" customFormat="1"/>
    <row r="918" s="115" customFormat="1"/>
    <row r="919" s="115" customFormat="1"/>
    <row r="920" s="115" customFormat="1"/>
    <row r="921" s="115" customFormat="1"/>
    <row r="922" s="115" customFormat="1"/>
    <row r="923" s="115" customFormat="1"/>
    <row r="924" s="115" customFormat="1"/>
    <row r="925" s="115" customFormat="1"/>
    <row r="926" s="115" customFormat="1"/>
    <row r="927" s="115" customFormat="1"/>
    <row r="928" s="115" customFormat="1"/>
    <row r="929" s="115" customFormat="1"/>
    <row r="930" s="115" customFormat="1"/>
    <row r="931" s="115" customFormat="1"/>
    <row r="932" s="115" customFormat="1"/>
    <row r="933" s="115" customFormat="1"/>
    <row r="934" s="115" customFormat="1"/>
    <row r="935" s="115" customFormat="1"/>
    <row r="936" s="115" customFormat="1"/>
    <row r="937" s="115" customFormat="1"/>
    <row r="938" s="115" customFormat="1"/>
    <row r="939" s="115" customFormat="1"/>
    <row r="940" s="115" customFormat="1"/>
    <row r="941" s="115" customFormat="1"/>
    <row r="942" s="115" customFormat="1"/>
    <row r="943" s="115" customFormat="1"/>
    <row r="944" s="115" customFormat="1"/>
    <row r="945" s="115" customFormat="1"/>
    <row r="946" s="115" customFormat="1"/>
    <row r="947" s="115" customFormat="1"/>
    <row r="948" s="115" customFormat="1"/>
    <row r="949" s="115" customFormat="1"/>
    <row r="950" s="115" customFormat="1"/>
    <row r="951" s="115" customFormat="1"/>
    <row r="952" s="115" customFormat="1"/>
    <row r="953" s="115" customFormat="1"/>
    <row r="954" s="115" customFormat="1"/>
    <row r="955" s="115" customFormat="1"/>
    <row r="956" s="115" customFormat="1"/>
    <row r="957" s="115" customFormat="1"/>
    <row r="958" s="115" customFormat="1"/>
    <row r="959" s="115" customFormat="1"/>
    <row r="960" s="115" customFormat="1"/>
    <row r="961" s="115" customFormat="1"/>
    <row r="962" s="115" customFormat="1"/>
    <row r="963" s="115" customFormat="1"/>
    <row r="964" s="115" customFormat="1"/>
    <row r="965" s="115" customFormat="1"/>
    <row r="966" s="115" customFormat="1"/>
    <row r="967" s="115" customFormat="1"/>
    <row r="968" s="115" customFormat="1"/>
    <row r="969" s="115" customFormat="1"/>
    <row r="970" s="115" customFormat="1"/>
    <row r="971" s="115" customFormat="1"/>
    <row r="972" s="115" customFormat="1"/>
    <row r="973" s="115" customFormat="1"/>
    <row r="974" s="115" customFormat="1"/>
    <row r="975" s="115" customFormat="1"/>
    <row r="976" s="115" customFormat="1"/>
    <row r="977" s="115" customFormat="1"/>
    <row r="978" s="115" customFormat="1"/>
    <row r="979" s="115" customFormat="1"/>
    <row r="980" s="115" customFormat="1"/>
    <row r="981" s="115" customFormat="1"/>
    <row r="982" s="115" customFormat="1"/>
    <row r="983" s="115" customFormat="1"/>
    <row r="984" s="115" customFormat="1"/>
    <row r="985" s="115" customFormat="1"/>
    <row r="986" s="115" customFormat="1"/>
    <row r="987" s="115" customFormat="1"/>
    <row r="988" s="115" customFormat="1"/>
    <row r="989" s="115" customFormat="1"/>
    <row r="990" s="115" customFormat="1"/>
    <row r="991" s="115" customFormat="1"/>
    <row r="992" s="115" customFormat="1"/>
    <row r="993" s="115" customFormat="1"/>
    <row r="994" s="115" customFormat="1"/>
    <row r="995" s="115" customFormat="1"/>
    <row r="996" s="115" customFormat="1"/>
    <row r="997" s="115" customFormat="1"/>
  </sheetData>
  <mergeCells count="18">
    <mergeCell ref="C18:C19"/>
    <mergeCell ref="C3:C4"/>
    <mergeCell ref="AA18:AA19"/>
    <mergeCell ref="A46:C46"/>
    <mergeCell ref="A53:C53"/>
    <mergeCell ref="Z3:Z4"/>
    <mergeCell ref="A18:A19"/>
    <mergeCell ref="B18:B19"/>
    <mergeCell ref="D18:D19"/>
    <mergeCell ref="E18:E19"/>
    <mergeCell ref="F18:I18"/>
    <mergeCell ref="Z18:Z19"/>
    <mergeCell ref="A3:A4"/>
    <mergeCell ref="B3:B4"/>
    <mergeCell ref="D3:D4"/>
    <mergeCell ref="E3:E4"/>
    <mergeCell ref="F3:I3"/>
    <mergeCell ref="Y3:Y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22BFC-FDF7-42C5-A536-50950FC86676}">
  <dimension ref="A1:AI1000"/>
  <sheetViews>
    <sheetView workbookViewId="0">
      <selection activeCell="C3" sqref="C3:C10"/>
    </sheetView>
  </sheetViews>
  <sheetFormatPr defaultColWidth="12.453125" defaultRowHeight="13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4" ht="15.75" customHeight="1">
      <c r="A1" s="107"/>
      <c r="B1" s="108"/>
      <c r="C1" s="109">
        <v>46082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4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4" ht="35.25" customHeight="1" thickBot="1">
      <c r="A3" s="269" t="s">
        <v>1</v>
      </c>
      <c r="B3" s="269" t="s">
        <v>2</v>
      </c>
      <c r="C3" s="280" t="s">
        <v>54</v>
      </c>
      <c r="D3" s="269" t="s">
        <v>3</v>
      </c>
      <c r="E3" s="269" t="s">
        <v>4</v>
      </c>
      <c r="F3" s="271" t="s">
        <v>5</v>
      </c>
      <c r="G3" s="270"/>
      <c r="H3" s="270"/>
      <c r="I3" s="270"/>
      <c r="J3" s="141">
        <f>C1</f>
        <v>46082</v>
      </c>
      <c r="K3" s="141">
        <f t="shared" ref="K3:X3" si="0">J3+1</f>
        <v>46083</v>
      </c>
      <c r="L3" s="141">
        <f t="shared" si="0"/>
        <v>46084</v>
      </c>
      <c r="M3" s="141">
        <f t="shared" si="0"/>
        <v>46085</v>
      </c>
      <c r="N3" s="141">
        <f t="shared" si="0"/>
        <v>46086</v>
      </c>
      <c r="O3" s="141">
        <f t="shared" si="0"/>
        <v>46087</v>
      </c>
      <c r="P3" s="141">
        <f t="shared" si="0"/>
        <v>46088</v>
      </c>
      <c r="Q3" s="141">
        <f t="shared" si="0"/>
        <v>46089</v>
      </c>
      <c r="R3" s="141">
        <f t="shared" si="0"/>
        <v>46090</v>
      </c>
      <c r="S3" s="141">
        <f t="shared" si="0"/>
        <v>46091</v>
      </c>
      <c r="T3" s="141">
        <f t="shared" si="0"/>
        <v>46092</v>
      </c>
      <c r="U3" s="141">
        <f t="shared" si="0"/>
        <v>46093</v>
      </c>
      <c r="V3" s="141">
        <f t="shared" si="0"/>
        <v>46094</v>
      </c>
      <c r="W3" s="141">
        <f t="shared" si="0"/>
        <v>46095</v>
      </c>
      <c r="X3" s="141">
        <f t="shared" si="0"/>
        <v>46096</v>
      </c>
      <c r="Y3" s="269" t="s">
        <v>6</v>
      </c>
      <c r="Z3" s="269" t="s">
        <v>7</v>
      </c>
      <c r="AA3" s="209"/>
      <c r="AB3" s="210"/>
      <c r="AC3" s="114"/>
    </row>
    <row r="4" spans="1:34" ht="27" customHeight="1" thickBot="1">
      <c r="A4" s="270"/>
      <c r="B4" s="270"/>
      <c r="C4" s="270"/>
      <c r="D4" s="270"/>
      <c r="E4" s="270"/>
      <c r="F4" s="219" t="s">
        <v>8</v>
      </c>
      <c r="G4" s="220" t="s">
        <v>9</v>
      </c>
      <c r="H4" s="165" t="s">
        <v>10</v>
      </c>
      <c r="I4" s="165" t="s">
        <v>11</v>
      </c>
      <c r="J4" s="221" t="str">
        <f t="shared" ref="J4:X4" si="1">IF(J3="","",TEXT(WEEKDAY(J3), "ddd"))</f>
        <v>Sun</v>
      </c>
      <c r="K4" s="127" t="str">
        <f t="shared" si="1"/>
        <v>Mon</v>
      </c>
      <c r="L4" s="127" t="str">
        <f t="shared" si="1"/>
        <v>Tue</v>
      </c>
      <c r="M4" s="222" t="str">
        <f t="shared" si="1"/>
        <v>Wed</v>
      </c>
      <c r="N4" s="222" t="str">
        <f t="shared" si="1"/>
        <v>Thu</v>
      </c>
      <c r="O4" s="221" t="str">
        <f t="shared" si="1"/>
        <v>Fri</v>
      </c>
      <c r="P4" s="221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22" t="str">
        <f t="shared" si="1"/>
        <v>Sun</v>
      </c>
      <c r="Y4" s="270"/>
      <c r="Z4" s="270"/>
      <c r="AA4" s="209"/>
      <c r="AB4" s="240" t="s">
        <v>12</v>
      </c>
      <c r="AC4" s="238"/>
      <c r="AD4" s="130"/>
      <c r="AE4" s="130"/>
      <c r="AF4" s="130"/>
      <c r="AG4" s="130"/>
      <c r="AH4" s="130"/>
    </row>
    <row r="5" spans="1:34" ht="12.75" customHeight="1">
      <c r="A5" s="131" t="s">
        <v>40</v>
      </c>
      <c r="B5" s="132" t="s">
        <v>47</v>
      </c>
      <c r="C5" s="281" t="s">
        <v>55</v>
      </c>
      <c r="D5" s="133">
        <v>43437</v>
      </c>
      <c r="E5" s="134">
        <f t="shared" ref="E5:E14" si="2">F5</f>
        <v>80</v>
      </c>
      <c r="F5" s="134">
        <f t="shared" ref="F5:F10" si="3">Z5*8</f>
        <v>80</v>
      </c>
      <c r="G5" s="134">
        <f t="shared" ref="G5:G10" si="4">H5+I5</f>
        <v>80</v>
      </c>
      <c r="H5" s="134">
        <f t="shared" ref="H5:H10" si="5">SUM(J5:X5)</f>
        <v>80</v>
      </c>
      <c r="I5" s="135">
        <v>0</v>
      </c>
      <c r="J5" s="245" t="s">
        <v>39</v>
      </c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45" t="s">
        <v>39</v>
      </c>
      <c r="Q5" s="245" t="s">
        <v>39</v>
      </c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45"/>
      <c r="X5" s="245"/>
      <c r="Y5" s="134">
        <v>0</v>
      </c>
      <c r="Z5" s="136">
        <v>10</v>
      </c>
      <c r="AA5" s="209"/>
      <c r="AB5" s="239" t="s">
        <v>15</v>
      </c>
      <c r="AC5" s="130"/>
      <c r="AD5" s="130"/>
      <c r="AE5" s="130"/>
      <c r="AF5" s="130"/>
      <c r="AG5" s="130"/>
      <c r="AH5" s="130"/>
    </row>
    <row r="6" spans="1:34" ht="12.75" customHeight="1">
      <c r="A6" s="131" t="s">
        <v>41</v>
      </c>
      <c r="B6" s="132" t="s">
        <v>47</v>
      </c>
      <c r="C6" s="281" t="s">
        <v>56</v>
      </c>
      <c r="D6" s="133">
        <v>45028</v>
      </c>
      <c r="E6" s="134">
        <f t="shared" si="2"/>
        <v>80</v>
      </c>
      <c r="F6" s="134">
        <f t="shared" si="3"/>
        <v>80</v>
      </c>
      <c r="G6" s="134">
        <f t="shared" si="4"/>
        <v>80</v>
      </c>
      <c r="H6" s="134">
        <f t="shared" si="5"/>
        <v>80</v>
      </c>
      <c r="I6" s="135">
        <v>0</v>
      </c>
      <c r="J6" s="245" t="s">
        <v>39</v>
      </c>
      <c r="K6" s="183">
        <v>8</v>
      </c>
      <c r="L6" s="183">
        <v>8</v>
      </c>
      <c r="M6" s="183">
        <v>8</v>
      </c>
      <c r="N6" s="183">
        <v>8</v>
      </c>
      <c r="O6" s="183">
        <v>8</v>
      </c>
      <c r="P6" s="245" t="s">
        <v>39</v>
      </c>
      <c r="Q6" s="245" t="s">
        <v>39</v>
      </c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45"/>
      <c r="X6" s="245"/>
      <c r="Y6" s="134">
        <v>0</v>
      </c>
      <c r="Z6" s="136">
        <v>10</v>
      </c>
      <c r="AA6" s="209"/>
      <c r="AB6" s="237" t="s">
        <v>6</v>
      </c>
      <c r="AC6" s="130"/>
      <c r="AD6" s="130"/>
      <c r="AE6" s="130"/>
      <c r="AF6" s="130"/>
      <c r="AG6" s="130"/>
      <c r="AH6" s="130"/>
    </row>
    <row r="7" spans="1:34" ht="12.75" customHeight="1">
      <c r="A7" s="131" t="s">
        <v>42</v>
      </c>
      <c r="B7" s="132" t="s">
        <v>47</v>
      </c>
      <c r="C7" s="281" t="s">
        <v>57</v>
      </c>
      <c r="D7" s="133">
        <v>43395</v>
      </c>
      <c r="E7" s="134">
        <f t="shared" si="2"/>
        <v>80</v>
      </c>
      <c r="F7" s="134">
        <f t="shared" si="3"/>
        <v>80</v>
      </c>
      <c r="G7" s="134">
        <f t="shared" si="4"/>
        <v>80</v>
      </c>
      <c r="H7" s="134">
        <f t="shared" si="5"/>
        <v>80</v>
      </c>
      <c r="I7" s="135">
        <v>0</v>
      </c>
      <c r="J7" s="245" t="s">
        <v>39</v>
      </c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45" t="s">
        <v>39</v>
      </c>
      <c r="Q7" s="245" t="s">
        <v>39</v>
      </c>
      <c r="R7" s="183">
        <v>8</v>
      </c>
      <c r="S7" s="183">
        <v>8</v>
      </c>
      <c r="T7" s="183">
        <v>8</v>
      </c>
      <c r="U7" s="183">
        <v>8</v>
      </c>
      <c r="V7" s="183">
        <v>8</v>
      </c>
      <c r="W7" s="245"/>
      <c r="X7" s="245"/>
      <c r="Y7" s="134"/>
      <c r="Z7" s="136">
        <v>10</v>
      </c>
      <c r="AA7" s="209"/>
      <c r="AB7" s="202" t="s">
        <v>18</v>
      </c>
      <c r="AC7" s="130"/>
      <c r="AD7" s="130"/>
      <c r="AE7" s="130"/>
      <c r="AF7" s="130"/>
      <c r="AG7" s="130"/>
      <c r="AH7" s="130"/>
    </row>
    <row r="8" spans="1:34" ht="12.75" customHeight="1">
      <c r="A8" s="131" t="s">
        <v>43</v>
      </c>
      <c r="B8" s="132" t="s">
        <v>47</v>
      </c>
      <c r="C8" s="281" t="s">
        <v>56</v>
      </c>
      <c r="D8" s="138">
        <v>43741</v>
      </c>
      <c r="E8" s="134">
        <f t="shared" si="2"/>
        <v>80</v>
      </c>
      <c r="F8" s="134">
        <f t="shared" si="3"/>
        <v>80</v>
      </c>
      <c r="G8" s="134">
        <f t="shared" si="4"/>
        <v>80</v>
      </c>
      <c r="H8" s="134">
        <f t="shared" si="5"/>
        <v>80</v>
      </c>
      <c r="I8" s="135">
        <v>0</v>
      </c>
      <c r="J8" s="245" t="s">
        <v>39</v>
      </c>
      <c r="K8" s="183">
        <v>8</v>
      </c>
      <c r="L8" s="243">
        <v>8</v>
      </c>
      <c r="M8" s="243">
        <v>8</v>
      </c>
      <c r="N8" s="243">
        <v>8</v>
      </c>
      <c r="O8" s="243">
        <v>8</v>
      </c>
      <c r="P8" s="245" t="s">
        <v>39</v>
      </c>
      <c r="Q8" s="245" t="s">
        <v>39</v>
      </c>
      <c r="R8" s="183">
        <v>8</v>
      </c>
      <c r="S8" s="183">
        <v>8</v>
      </c>
      <c r="T8" s="183">
        <v>8</v>
      </c>
      <c r="U8" s="183">
        <v>8</v>
      </c>
      <c r="V8" s="183">
        <v>8</v>
      </c>
      <c r="W8" s="245"/>
      <c r="X8" s="245"/>
      <c r="Y8" s="134"/>
      <c r="Z8" s="136">
        <v>10</v>
      </c>
      <c r="AA8" s="209"/>
      <c r="AB8" s="114"/>
      <c r="AC8" s="130"/>
      <c r="AD8" s="130"/>
      <c r="AE8" s="130"/>
      <c r="AF8" s="130"/>
      <c r="AG8" s="130"/>
      <c r="AH8" s="130"/>
    </row>
    <row r="9" spans="1:34" ht="12.75" customHeight="1">
      <c r="A9" s="139" t="s">
        <v>44</v>
      </c>
      <c r="B9" s="132" t="s">
        <v>47</v>
      </c>
      <c r="C9" s="281" t="s">
        <v>58</v>
      </c>
      <c r="D9" s="138">
        <v>43731</v>
      </c>
      <c r="E9" s="134">
        <v>40</v>
      </c>
      <c r="F9" s="134">
        <v>40</v>
      </c>
      <c r="G9" s="134">
        <f t="shared" si="4"/>
        <v>40</v>
      </c>
      <c r="H9" s="134">
        <f t="shared" si="5"/>
        <v>40</v>
      </c>
      <c r="I9" s="135">
        <v>0</v>
      </c>
      <c r="J9" s="245" t="s">
        <v>39</v>
      </c>
      <c r="K9" s="241">
        <v>4</v>
      </c>
      <c r="L9" s="183">
        <v>4</v>
      </c>
      <c r="M9" s="183">
        <v>4</v>
      </c>
      <c r="N9" s="183">
        <v>4</v>
      </c>
      <c r="O9" s="183">
        <v>4</v>
      </c>
      <c r="P9" s="245" t="s">
        <v>39</v>
      </c>
      <c r="Q9" s="245" t="s">
        <v>39</v>
      </c>
      <c r="R9" s="183">
        <v>4</v>
      </c>
      <c r="S9" s="183">
        <v>4</v>
      </c>
      <c r="T9" s="183">
        <v>4</v>
      </c>
      <c r="U9" s="183">
        <v>4</v>
      </c>
      <c r="V9" s="183">
        <v>4</v>
      </c>
      <c r="W9" s="245"/>
      <c r="X9" s="245"/>
      <c r="Y9" s="134"/>
      <c r="Z9" s="136">
        <v>10</v>
      </c>
      <c r="AA9" s="209"/>
      <c r="AB9" s="114"/>
      <c r="AC9" s="130"/>
      <c r="AD9" s="130"/>
      <c r="AE9" s="130"/>
      <c r="AF9" s="130"/>
      <c r="AG9" s="130"/>
      <c r="AH9" s="130"/>
    </row>
    <row r="10" spans="1:34" ht="12.75" customHeight="1">
      <c r="A10" s="139" t="s">
        <v>45</v>
      </c>
      <c r="B10" s="132" t="s">
        <v>47</v>
      </c>
      <c r="C10" s="281" t="s">
        <v>59</v>
      </c>
      <c r="D10" s="138">
        <v>45628</v>
      </c>
      <c r="E10" s="134">
        <f t="shared" si="2"/>
        <v>80</v>
      </c>
      <c r="F10" s="134">
        <f t="shared" si="3"/>
        <v>80</v>
      </c>
      <c r="G10" s="134">
        <f t="shared" si="4"/>
        <v>64</v>
      </c>
      <c r="H10" s="134">
        <f t="shared" si="5"/>
        <v>64</v>
      </c>
      <c r="I10" s="135">
        <v>0</v>
      </c>
      <c r="J10" s="245" t="s">
        <v>39</v>
      </c>
      <c r="K10" s="241">
        <v>8</v>
      </c>
      <c r="L10" s="241">
        <v>8</v>
      </c>
      <c r="M10" s="241">
        <v>8</v>
      </c>
      <c r="N10" s="241">
        <v>8</v>
      </c>
      <c r="O10" s="241">
        <v>8</v>
      </c>
      <c r="P10" s="245" t="s">
        <v>39</v>
      </c>
      <c r="Q10" s="245" t="s">
        <v>39</v>
      </c>
      <c r="R10" s="241">
        <v>8</v>
      </c>
      <c r="S10" s="241">
        <v>8</v>
      </c>
      <c r="T10" s="241">
        <v>8</v>
      </c>
      <c r="U10" s="237"/>
      <c r="V10" s="237"/>
      <c r="W10" s="245"/>
      <c r="X10" s="245"/>
      <c r="Y10" s="134">
        <v>2</v>
      </c>
      <c r="Z10" s="136">
        <v>10</v>
      </c>
      <c r="AA10" s="209"/>
      <c r="AB10" s="114"/>
      <c r="AC10" s="130"/>
      <c r="AD10" s="130"/>
      <c r="AE10" s="130"/>
      <c r="AF10" s="130"/>
      <c r="AG10" s="130"/>
      <c r="AH10" s="130"/>
    </row>
    <row r="11" spans="1:34" ht="12.75" hidden="1" customHeight="1">
      <c r="A11" s="140"/>
      <c r="B11" s="132" t="s">
        <v>47</v>
      </c>
      <c r="C11" s="132" t="s">
        <v>60</v>
      </c>
      <c r="D11" s="140"/>
      <c r="E11" s="134">
        <f t="shared" si="2"/>
        <v>0</v>
      </c>
      <c r="F11" s="140"/>
      <c r="G11" s="140"/>
      <c r="H11" s="140"/>
      <c r="I11" s="135">
        <v>0</v>
      </c>
      <c r="J11" s="245" t="s">
        <v>39</v>
      </c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34">
        <f t="shared" ref="Y11:Y14" si="6">Z11-COUNTA(J11:X11)</f>
        <v>9</v>
      </c>
      <c r="Z11" s="135">
        <f t="shared" ref="Z11:Z14" si="7">NETWORKDAYS($J$3,$X$3,$X$3)</f>
        <v>10</v>
      </c>
      <c r="AA11" s="209"/>
      <c r="AB11" s="114"/>
      <c r="AC11" s="130"/>
      <c r="AD11" s="130"/>
      <c r="AE11" s="130"/>
      <c r="AF11" s="130"/>
      <c r="AG11" s="130"/>
      <c r="AH11" s="130"/>
    </row>
    <row r="12" spans="1:34" ht="12.75" hidden="1" customHeight="1">
      <c r="A12" s="140"/>
      <c r="B12" s="132" t="s">
        <v>47</v>
      </c>
      <c r="C12" s="132"/>
      <c r="D12" s="140"/>
      <c r="E12" s="134">
        <f t="shared" si="2"/>
        <v>0</v>
      </c>
      <c r="F12" s="140"/>
      <c r="G12" s="140"/>
      <c r="H12" s="140"/>
      <c r="I12" s="135">
        <v>0</v>
      </c>
      <c r="J12" s="245" t="s">
        <v>39</v>
      </c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34">
        <f t="shared" si="6"/>
        <v>9</v>
      </c>
      <c r="Z12" s="135">
        <f t="shared" si="7"/>
        <v>10</v>
      </c>
      <c r="AA12" s="209"/>
      <c r="AB12" s="114"/>
      <c r="AC12" s="130"/>
      <c r="AD12" s="130"/>
      <c r="AE12" s="130"/>
      <c r="AF12" s="130"/>
      <c r="AG12" s="130"/>
      <c r="AH12" s="130"/>
    </row>
    <row r="13" spans="1:34" ht="12.75" hidden="1" customHeight="1">
      <c r="A13" s="140"/>
      <c r="B13" s="132" t="s">
        <v>47</v>
      </c>
      <c r="C13" s="132"/>
      <c r="D13" s="140"/>
      <c r="E13" s="134">
        <f t="shared" si="2"/>
        <v>0</v>
      </c>
      <c r="F13" s="140"/>
      <c r="G13" s="140"/>
      <c r="H13" s="140"/>
      <c r="I13" s="135">
        <v>0</v>
      </c>
      <c r="J13" s="245" t="s">
        <v>39</v>
      </c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34">
        <f t="shared" si="6"/>
        <v>9</v>
      </c>
      <c r="Z13" s="135">
        <f t="shared" si="7"/>
        <v>10</v>
      </c>
      <c r="AA13" s="209"/>
      <c r="AB13" s="114"/>
      <c r="AC13" s="130"/>
      <c r="AD13" s="130"/>
      <c r="AE13" s="130"/>
      <c r="AF13" s="130"/>
      <c r="AG13" s="130"/>
      <c r="AH13" s="130"/>
    </row>
    <row r="14" spans="1:34" ht="12.75" hidden="1" customHeight="1">
      <c r="A14" s="140"/>
      <c r="B14" s="132" t="s">
        <v>47</v>
      </c>
      <c r="C14" s="132"/>
      <c r="D14" s="140"/>
      <c r="E14" s="134">
        <f t="shared" si="2"/>
        <v>0</v>
      </c>
      <c r="F14" s="140"/>
      <c r="G14" s="140"/>
      <c r="H14" s="140"/>
      <c r="I14" s="135">
        <v>0</v>
      </c>
      <c r="J14" s="245" t="s">
        <v>39</v>
      </c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34">
        <f t="shared" si="6"/>
        <v>9</v>
      </c>
      <c r="Z14" s="135">
        <f t="shared" si="7"/>
        <v>10</v>
      </c>
      <c r="AA14" s="209"/>
      <c r="AB14" s="114"/>
      <c r="AC14" s="130"/>
      <c r="AD14" s="130"/>
      <c r="AE14" s="130"/>
      <c r="AF14" s="130"/>
      <c r="AG14" s="130"/>
      <c r="AH14" s="130"/>
    </row>
    <row r="15" spans="1:34" ht="12.75" customHeight="1">
      <c r="A15" s="139" t="s">
        <v>49</v>
      </c>
      <c r="B15" s="132" t="s">
        <v>47</v>
      </c>
      <c r="C15" s="281" t="s">
        <v>57</v>
      </c>
      <c r="D15" s="138">
        <v>46082</v>
      </c>
      <c r="E15" s="134">
        <v>80</v>
      </c>
      <c r="F15" s="251">
        <v>80</v>
      </c>
      <c r="G15" s="251">
        <v>64</v>
      </c>
      <c r="H15" s="251">
        <v>64</v>
      </c>
      <c r="I15" s="135">
        <v>0</v>
      </c>
      <c r="J15" s="245" t="s">
        <v>39</v>
      </c>
      <c r="K15" s="140">
        <v>8</v>
      </c>
      <c r="L15" s="140">
        <v>8</v>
      </c>
      <c r="M15" s="140">
        <v>8</v>
      </c>
      <c r="N15" s="140">
        <v>8</v>
      </c>
      <c r="O15" s="237"/>
      <c r="P15" s="245" t="s">
        <v>39</v>
      </c>
      <c r="Q15" s="245" t="s">
        <v>39</v>
      </c>
      <c r="R15" s="140">
        <v>8</v>
      </c>
      <c r="S15" s="140">
        <v>8</v>
      </c>
      <c r="T15" s="140">
        <v>8</v>
      </c>
      <c r="U15" s="140">
        <v>8</v>
      </c>
      <c r="V15" s="237"/>
      <c r="W15" s="140"/>
      <c r="X15" s="140"/>
      <c r="Y15" s="134">
        <v>2</v>
      </c>
      <c r="Z15" s="135"/>
      <c r="AA15" s="209"/>
      <c r="AB15" s="114"/>
      <c r="AC15" s="130"/>
      <c r="AD15" s="130"/>
      <c r="AE15" s="130"/>
      <c r="AF15" s="130"/>
      <c r="AG15" s="130"/>
      <c r="AH15" s="130"/>
    </row>
    <row r="16" spans="1:34" ht="12.75" customHeight="1">
      <c r="A16" s="223"/>
      <c r="B16" s="223"/>
      <c r="C16" s="223"/>
      <c r="D16" s="223"/>
      <c r="E16" s="224">
        <f t="shared" ref="E16:X16" si="8">SUM(E5:E14)</f>
        <v>440</v>
      </c>
      <c r="F16" s="224">
        <f t="shared" si="8"/>
        <v>440</v>
      </c>
      <c r="G16" s="224">
        <f t="shared" si="8"/>
        <v>424</v>
      </c>
      <c r="H16" s="224">
        <f t="shared" si="8"/>
        <v>424</v>
      </c>
      <c r="I16" s="224">
        <f t="shared" si="8"/>
        <v>0</v>
      </c>
      <c r="J16" s="224">
        <f t="shared" si="8"/>
        <v>0</v>
      </c>
      <c r="K16" s="224">
        <f t="shared" si="8"/>
        <v>44</v>
      </c>
      <c r="L16" s="224">
        <f t="shared" si="8"/>
        <v>44</v>
      </c>
      <c r="M16" s="224">
        <f t="shared" si="8"/>
        <v>44</v>
      </c>
      <c r="N16" s="224">
        <f t="shared" si="8"/>
        <v>44</v>
      </c>
      <c r="O16" s="224">
        <f t="shared" si="8"/>
        <v>44</v>
      </c>
      <c r="P16" s="224">
        <f t="shared" si="8"/>
        <v>0</v>
      </c>
      <c r="Q16" s="224">
        <f t="shared" si="8"/>
        <v>0</v>
      </c>
      <c r="R16" s="224">
        <f t="shared" si="8"/>
        <v>44</v>
      </c>
      <c r="S16" s="224">
        <f t="shared" si="8"/>
        <v>44</v>
      </c>
      <c r="T16" s="224">
        <f t="shared" si="8"/>
        <v>44</v>
      </c>
      <c r="U16" s="224">
        <f t="shared" si="8"/>
        <v>36</v>
      </c>
      <c r="V16" s="224">
        <f t="shared" si="8"/>
        <v>36</v>
      </c>
      <c r="W16" s="224">
        <f t="shared" si="8"/>
        <v>0</v>
      </c>
      <c r="X16" s="224">
        <f t="shared" si="8"/>
        <v>0</v>
      </c>
      <c r="Y16" s="224"/>
      <c r="Z16" s="224"/>
      <c r="AA16" s="209"/>
      <c r="AB16" s="114"/>
      <c r="AC16" s="130"/>
      <c r="AD16" s="130"/>
      <c r="AE16" s="130"/>
      <c r="AF16" s="130"/>
      <c r="AG16" s="130"/>
      <c r="AH16" s="130"/>
    </row>
    <row r="17" spans="1:35" ht="15" customHeight="1">
      <c r="A17" s="209"/>
      <c r="B17" s="209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120"/>
      <c r="AA17" s="114"/>
      <c r="AB17" s="114"/>
      <c r="AC17" s="114"/>
      <c r="AD17" s="130"/>
      <c r="AE17" s="130"/>
      <c r="AF17" s="130"/>
      <c r="AG17" s="130"/>
      <c r="AH17" s="130"/>
      <c r="AI17" s="130"/>
    </row>
    <row r="18" spans="1:35" ht="15" customHeight="1">
      <c r="A18" s="225" t="s">
        <v>22</v>
      </c>
      <c r="B18" s="226"/>
      <c r="C18" s="226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114"/>
      <c r="AB18" s="120"/>
      <c r="AC18" s="114"/>
    </row>
    <row r="19" spans="1:35" ht="35.25" customHeight="1">
      <c r="A19" s="269" t="s">
        <v>1</v>
      </c>
      <c r="B19" s="269" t="s">
        <v>2</v>
      </c>
      <c r="C19" s="280" t="s">
        <v>54</v>
      </c>
      <c r="D19" s="269" t="s">
        <v>3</v>
      </c>
      <c r="E19" s="269" t="s">
        <v>4</v>
      </c>
      <c r="F19" s="271" t="s">
        <v>5</v>
      </c>
      <c r="G19" s="270"/>
      <c r="H19" s="270"/>
      <c r="I19" s="270"/>
      <c r="J19" s="141">
        <f>X3+1</f>
        <v>46097</v>
      </c>
      <c r="K19" s="141">
        <f t="shared" ref="K19:Y19" si="9">J19+1</f>
        <v>46098</v>
      </c>
      <c r="L19" s="141">
        <f t="shared" si="9"/>
        <v>46099</v>
      </c>
      <c r="M19" s="141">
        <f t="shared" si="9"/>
        <v>46100</v>
      </c>
      <c r="N19" s="141">
        <f t="shared" si="9"/>
        <v>46101</v>
      </c>
      <c r="O19" s="141">
        <f t="shared" si="9"/>
        <v>46102</v>
      </c>
      <c r="P19" s="141">
        <f t="shared" si="9"/>
        <v>46103</v>
      </c>
      <c r="Q19" s="141">
        <f t="shared" si="9"/>
        <v>46104</v>
      </c>
      <c r="R19" s="141">
        <f t="shared" si="9"/>
        <v>46105</v>
      </c>
      <c r="S19" s="141">
        <f t="shared" si="9"/>
        <v>46106</v>
      </c>
      <c r="T19" s="141">
        <f t="shared" si="9"/>
        <v>46107</v>
      </c>
      <c r="U19" s="141">
        <f t="shared" si="9"/>
        <v>46108</v>
      </c>
      <c r="V19" s="141">
        <f t="shared" si="9"/>
        <v>46109</v>
      </c>
      <c r="W19" s="141">
        <f t="shared" si="9"/>
        <v>46110</v>
      </c>
      <c r="X19" s="141">
        <f t="shared" si="9"/>
        <v>46111</v>
      </c>
      <c r="Y19" s="141">
        <f t="shared" si="9"/>
        <v>46112</v>
      </c>
      <c r="Z19" s="269" t="s">
        <v>6</v>
      </c>
      <c r="AA19" s="269" t="s">
        <v>7</v>
      </c>
      <c r="AB19" s="209"/>
      <c r="AC19" s="114"/>
    </row>
    <row r="20" spans="1:35" ht="26.25" customHeight="1">
      <c r="A20" s="270"/>
      <c r="B20" s="270"/>
      <c r="C20" s="270"/>
      <c r="D20" s="270"/>
      <c r="E20" s="270"/>
      <c r="F20" s="219" t="s">
        <v>8</v>
      </c>
      <c r="G20" s="220" t="s">
        <v>9</v>
      </c>
      <c r="H20" s="165" t="s">
        <v>10</v>
      </c>
      <c r="I20" s="165" t="s">
        <v>11</v>
      </c>
      <c r="J20" s="222" t="str">
        <f t="shared" ref="J20:Y20" si="10">IF(J19="","",TEXT(WEEKDAY(J19), "ddd"))</f>
        <v>Mon</v>
      </c>
      <c r="K20" s="222" t="str">
        <f t="shared" si="10"/>
        <v>Tue</v>
      </c>
      <c r="L20" s="222" t="str">
        <f t="shared" si="10"/>
        <v>Wed</v>
      </c>
      <c r="M20" s="222" t="str">
        <f t="shared" si="10"/>
        <v>Thu</v>
      </c>
      <c r="N20" s="222" t="str">
        <f t="shared" si="10"/>
        <v>Fri</v>
      </c>
      <c r="O20" s="222" t="str">
        <f t="shared" si="10"/>
        <v>Sat</v>
      </c>
      <c r="P20" s="222" t="str">
        <f t="shared" si="10"/>
        <v>Sun</v>
      </c>
      <c r="Q20" s="127" t="str">
        <f t="shared" si="10"/>
        <v>Mon</v>
      </c>
      <c r="R20" s="127" t="str">
        <f t="shared" si="10"/>
        <v>Tue</v>
      </c>
      <c r="S20" s="222" t="str">
        <f t="shared" si="10"/>
        <v>Wed</v>
      </c>
      <c r="T20" s="222" t="str">
        <f t="shared" si="10"/>
        <v>Thu</v>
      </c>
      <c r="U20" s="222" t="str">
        <f t="shared" si="10"/>
        <v>Fri</v>
      </c>
      <c r="V20" s="222" t="str">
        <f t="shared" si="10"/>
        <v>Sat</v>
      </c>
      <c r="W20" s="222" t="str">
        <f t="shared" si="10"/>
        <v>Sun</v>
      </c>
      <c r="X20" s="222" t="str">
        <f t="shared" si="10"/>
        <v>Mon</v>
      </c>
      <c r="Y20" s="222" t="str">
        <f t="shared" si="10"/>
        <v>Tue</v>
      </c>
      <c r="Z20" s="270"/>
      <c r="AA20" s="270"/>
      <c r="AB20" s="209"/>
      <c r="AC20" s="114"/>
    </row>
    <row r="21" spans="1:35" ht="12.75" customHeight="1">
      <c r="A21" s="131" t="s">
        <v>40</v>
      </c>
      <c r="B21" s="132" t="s">
        <v>47</v>
      </c>
      <c r="C21" s="281" t="s">
        <v>55</v>
      </c>
      <c r="D21" s="133">
        <v>43437</v>
      </c>
      <c r="E21" s="134">
        <f t="shared" ref="E21:E26" si="11">F21</f>
        <v>96</v>
      </c>
      <c r="F21" s="134">
        <f t="shared" ref="F21:F30" si="12">AA21*8</f>
        <v>96</v>
      </c>
      <c r="G21" s="134">
        <f t="shared" ref="G21:G26" si="13">H21+I21</f>
        <v>96</v>
      </c>
      <c r="H21" s="134">
        <f t="shared" ref="H21:H26" si="14">SUM(J21:Y21)</f>
        <v>96</v>
      </c>
      <c r="I21" s="135">
        <v>0</v>
      </c>
      <c r="J21" s="180">
        <v>8</v>
      </c>
      <c r="K21" s="183">
        <v>8</v>
      </c>
      <c r="L21" s="180">
        <v>8</v>
      </c>
      <c r="M21" s="180">
        <v>8</v>
      </c>
      <c r="N21" s="180">
        <v>8</v>
      </c>
      <c r="O21" s="255" t="s">
        <v>39</v>
      </c>
      <c r="P21" s="255" t="s">
        <v>39</v>
      </c>
      <c r="Q21" s="180">
        <v>8</v>
      </c>
      <c r="R21" s="183">
        <v>8</v>
      </c>
      <c r="S21" s="180">
        <v>8</v>
      </c>
      <c r="T21" s="183">
        <v>8</v>
      </c>
      <c r="U21" s="180">
        <v>8</v>
      </c>
      <c r="V21" s="255"/>
      <c r="W21" s="245"/>
      <c r="X21" s="183">
        <v>8</v>
      </c>
      <c r="Y21" s="180">
        <v>8</v>
      </c>
      <c r="Z21" s="134">
        <f t="shared" ref="Z21:Z26" si="15">AA21-COUNTA(J21:Y21)</f>
        <v>-2</v>
      </c>
      <c r="AA21" s="136">
        <v>12</v>
      </c>
      <c r="AB21" s="209"/>
      <c r="AC21" s="114"/>
    </row>
    <row r="22" spans="1:35" ht="12.75" customHeight="1">
      <c r="A22" s="131" t="s">
        <v>41</v>
      </c>
      <c r="B22" s="132" t="s">
        <v>47</v>
      </c>
      <c r="C22" s="281" t="s">
        <v>56</v>
      </c>
      <c r="D22" s="133">
        <v>45028</v>
      </c>
      <c r="E22" s="134">
        <f t="shared" si="11"/>
        <v>96</v>
      </c>
      <c r="F22" s="134">
        <f t="shared" si="12"/>
        <v>96</v>
      </c>
      <c r="G22" s="134">
        <f t="shared" si="13"/>
        <v>88</v>
      </c>
      <c r="H22" s="134">
        <f t="shared" si="14"/>
        <v>88</v>
      </c>
      <c r="I22" s="135">
        <v>0</v>
      </c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255" t="s">
        <v>39</v>
      </c>
      <c r="P22" s="255" t="s">
        <v>39</v>
      </c>
      <c r="Q22" s="186"/>
      <c r="R22" s="180">
        <v>8</v>
      </c>
      <c r="S22" s="183">
        <v>8</v>
      </c>
      <c r="T22" s="180">
        <v>8</v>
      </c>
      <c r="U22" s="180">
        <v>8</v>
      </c>
      <c r="V22" s="255"/>
      <c r="W22" s="245"/>
      <c r="X22" s="180">
        <v>8</v>
      </c>
      <c r="Y22" s="180">
        <v>8</v>
      </c>
      <c r="Z22" s="134">
        <f t="shared" si="15"/>
        <v>-1</v>
      </c>
      <c r="AA22" s="136">
        <v>12</v>
      </c>
      <c r="AB22" s="209"/>
      <c r="AC22" s="114"/>
    </row>
    <row r="23" spans="1:35" ht="12.75" customHeight="1">
      <c r="A23" s="131" t="s">
        <v>42</v>
      </c>
      <c r="B23" s="132" t="s">
        <v>47</v>
      </c>
      <c r="C23" s="281" t="s">
        <v>57</v>
      </c>
      <c r="D23" s="133">
        <v>43395</v>
      </c>
      <c r="E23" s="134">
        <f t="shared" si="11"/>
        <v>96</v>
      </c>
      <c r="F23" s="134">
        <f t="shared" si="12"/>
        <v>96</v>
      </c>
      <c r="G23" s="134">
        <f t="shared" si="13"/>
        <v>96</v>
      </c>
      <c r="H23" s="134">
        <f t="shared" si="14"/>
        <v>96</v>
      </c>
      <c r="I23" s="135">
        <v>0</v>
      </c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55" t="s">
        <v>39</v>
      </c>
      <c r="P23" s="255" t="s">
        <v>39</v>
      </c>
      <c r="Q23" s="180">
        <v>8</v>
      </c>
      <c r="R23" s="180">
        <v>8</v>
      </c>
      <c r="S23" s="180">
        <v>8</v>
      </c>
      <c r="T23" s="180">
        <v>8</v>
      </c>
      <c r="U23" s="180">
        <v>8</v>
      </c>
      <c r="V23" s="255"/>
      <c r="W23" s="255"/>
      <c r="X23" s="180">
        <v>8</v>
      </c>
      <c r="Y23" s="180">
        <v>8</v>
      </c>
      <c r="Z23" s="134">
        <f t="shared" si="15"/>
        <v>-2</v>
      </c>
      <c r="AA23" s="136">
        <v>12</v>
      </c>
      <c r="AB23" s="209"/>
      <c r="AC23" s="114"/>
    </row>
    <row r="24" spans="1:35" ht="12.75" customHeight="1">
      <c r="A24" s="131" t="s">
        <v>43</v>
      </c>
      <c r="B24" s="132" t="s">
        <v>47</v>
      </c>
      <c r="C24" s="281" t="s">
        <v>56</v>
      </c>
      <c r="D24" s="138">
        <v>43741</v>
      </c>
      <c r="E24" s="134">
        <f t="shared" si="11"/>
        <v>96</v>
      </c>
      <c r="F24" s="134">
        <f t="shared" si="12"/>
        <v>96</v>
      </c>
      <c r="G24" s="134">
        <f t="shared" si="13"/>
        <v>88</v>
      </c>
      <c r="H24" s="134">
        <f t="shared" si="14"/>
        <v>88</v>
      </c>
      <c r="I24" s="135">
        <v>0</v>
      </c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255" t="s">
        <v>39</v>
      </c>
      <c r="P24" s="255" t="s">
        <v>39</v>
      </c>
      <c r="Q24" s="183">
        <v>8</v>
      </c>
      <c r="R24" s="180">
        <v>8</v>
      </c>
      <c r="S24" s="183">
        <v>8</v>
      </c>
      <c r="T24" s="180">
        <v>8</v>
      </c>
      <c r="U24" s="186"/>
      <c r="V24" s="255"/>
      <c r="W24" s="245"/>
      <c r="X24" s="183">
        <v>8</v>
      </c>
      <c r="Y24" s="180">
        <v>8</v>
      </c>
      <c r="Z24" s="134">
        <f t="shared" si="15"/>
        <v>-1</v>
      </c>
      <c r="AA24" s="136">
        <v>12</v>
      </c>
      <c r="AB24" s="209"/>
      <c r="AC24" s="114"/>
    </row>
    <row r="25" spans="1:35" ht="12.75" customHeight="1">
      <c r="A25" s="139" t="s">
        <v>44</v>
      </c>
      <c r="B25" s="132" t="s">
        <v>47</v>
      </c>
      <c r="C25" s="281" t="s">
        <v>58</v>
      </c>
      <c r="D25" s="138">
        <v>43731</v>
      </c>
      <c r="E25" s="134">
        <v>48</v>
      </c>
      <c r="F25" s="134">
        <v>48</v>
      </c>
      <c r="G25" s="134">
        <f t="shared" si="13"/>
        <v>48</v>
      </c>
      <c r="H25" s="134">
        <f t="shared" si="14"/>
        <v>48</v>
      </c>
      <c r="I25" s="135">
        <v>0</v>
      </c>
      <c r="J25" s="180">
        <v>4</v>
      </c>
      <c r="K25" s="180">
        <v>4</v>
      </c>
      <c r="L25" s="180">
        <v>4</v>
      </c>
      <c r="M25" s="260">
        <v>4</v>
      </c>
      <c r="N25" s="180">
        <v>4</v>
      </c>
      <c r="O25" s="255" t="s">
        <v>39</v>
      </c>
      <c r="P25" s="255" t="s">
        <v>39</v>
      </c>
      <c r="Q25" s="183">
        <v>4</v>
      </c>
      <c r="R25" s="180">
        <v>4</v>
      </c>
      <c r="S25" s="180">
        <v>4</v>
      </c>
      <c r="T25" s="180">
        <v>4</v>
      </c>
      <c r="U25" s="180">
        <v>4</v>
      </c>
      <c r="V25" s="255"/>
      <c r="W25" s="255"/>
      <c r="X25" s="180">
        <v>4</v>
      </c>
      <c r="Y25" s="180">
        <v>4</v>
      </c>
      <c r="Z25" s="134">
        <f t="shared" si="15"/>
        <v>-2</v>
      </c>
      <c r="AA25" s="136">
        <v>12</v>
      </c>
      <c r="AB25" s="209"/>
      <c r="AC25" s="114"/>
    </row>
    <row r="26" spans="1:35" ht="12.75" customHeight="1">
      <c r="A26" s="139" t="s">
        <v>45</v>
      </c>
      <c r="B26" s="132" t="s">
        <v>47</v>
      </c>
      <c r="C26" s="281" t="s">
        <v>59</v>
      </c>
      <c r="D26" s="138">
        <v>45628</v>
      </c>
      <c r="E26" s="134">
        <f t="shared" si="11"/>
        <v>96</v>
      </c>
      <c r="F26" s="134">
        <f t="shared" si="12"/>
        <v>96</v>
      </c>
      <c r="G26" s="134">
        <f t="shared" si="13"/>
        <v>72</v>
      </c>
      <c r="H26" s="134">
        <f t="shared" si="14"/>
        <v>72</v>
      </c>
      <c r="I26" s="135">
        <v>0</v>
      </c>
      <c r="J26" s="241">
        <v>8</v>
      </c>
      <c r="K26" s="241">
        <v>8</v>
      </c>
      <c r="L26" s="241">
        <v>8</v>
      </c>
      <c r="M26" s="237"/>
      <c r="N26" s="237"/>
      <c r="O26" s="255" t="s">
        <v>39</v>
      </c>
      <c r="P26" s="255" t="s">
        <v>39</v>
      </c>
      <c r="Q26" s="241">
        <v>8</v>
      </c>
      <c r="R26" s="241">
        <v>8</v>
      </c>
      <c r="S26" s="237"/>
      <c r="T26" s="241">
        <v>8</v>
      </c>
      <c r="U26" s="241">
        <v>8</v>
      </c>
      <c r="V26" s="245"/>
      <c r="W26" s="245"/>
      <c r="X26" s="241">
        <v>8</v>
      </c>
      <c r="Y26" s="241">
        <v>8</v>
      </c>
      <c r="Z26" s="134">
        <f t="shared" si="15"/>
        <v>1</v>
      </c>
      <c r="AA26" s="136">
        <v>12</v>
      </c>
      <c r="AB26" s="209"/>
      <c r="AC26" s="114"/>
    </row>
    <row r="27" spans="1:35" ht="12.75" hidden="1" customHeight="1">
      <c r="A27" s="140"/>
      <c r="B27" s="132" t="s">
        <v>47</v>
      </c>
      <c r="C27" s="132" t="s">
        <v>60</v>
      </c>
      <c r="D27" s="140"/>
      <c r="E27" s="140"/>
      <c r="F27" s="134">
        <f t="shared" si="12"/>
        <v>0</v>
      </c>
      <c r="G27" s="140"/>
      <c r="H27" s="140"/>
      <c r="I27" s="135">
        <v>0</v>
      </c>
      <c r="J27" s="140"/>
      <c r="K27" s="140"/>
      <c r="L27" s="140"/>
      <c r="M27" s="140"/>
      <c r="N27" s="140"/>
      <c r="O27" s="255" t="s">
        <v>39</v>
      </c>
      <c r="P27" s="255" t="s">
        <v>39</v>
      </c>
      <c r="Q27" s="140"/>
      <c r="R27" s="140"/>
      <c r="S27" s="140"/>
      <c r="T27" s="140"/>
      <c r="U27" s="140"/>
      <c r="V27" s="140"/>
      <c r="W27" s="140"/>
      <c r="X27" s="140"/>
      <c r="Y27" s="140"/>
      <c r="Z27" s="134"/>
      <c r="AA27" s="135"/>
      <c r="AB27" s="209"/>
      <c r="AC27" s="114"/>
    </row>
    <row r="28" spans="1:35" ht="12.75" hidden="1" customHeight="1">
      <c r="A28" s="140"/>
      <c r="B28" s="132" t="s">
        <v>47</v>
      </c>
      <c r="C28" s="132"/>
      <c r="D28" s="140"/>
      <c r="E28" s="140"/>
      <c r="F28" s="134">
        <f t="shared" si="12"/>
        <v>0</v>
      </c>
      <c r="G28" s="140"/>
      <c r="H28" s="140"/>
      <c r="I28" s="135">
        <v>0</v>
      </c>
      <c r="J28" s="140"/>
      <c r="K28" s="140"/>
      <c r="L28" s="140"/>
      <c r="M28" s="140"/>
      <c r="N28" s="140"/>
      <c r="O28" s="255" t="s">
        <v>39</v>
      </c>
      <c r="P28" s="255" t="s">
        <v>39</v>
      </c>
      <c r="Q28" s="140"/>
      <c r="R28" s="140"/>
      <c r="S28" s="140"/>
      <c r="T28" s="140"/>
      <c r="U28" s="140"/>
      <c r="V28" s="140"/>
      <c r="W28" s="140"/>
      <c r="X28" s="140"/>
      <c r="Y28" s="140"/>
      <c r="Z28" s="134"/>
      <c r="AA28" s="135"/>
      <c r="AB28" s="209"/>
      <c r="AC28" s="114"/>
    </row>
    <row r="29" spans="1:35" ht="12.75" hidden="1" customHeight="1">
      <c r="A29" s="140"/>
      <c r="B29" s="132" t="s">
        <v>47</v>
      </c>
      <c r="C29" s="132"/>
      <c r="D29" s="140"/>
      <c r="E29" s="140"/>
      <c r="F29" s="134">
        <f t="shared" si="12"/>
        <v>0</v>
      </c>
      <c r="G29" s="140"/>
      <c r="H29" s="140"/>
      <c r="I29" s="135">
        <v>0</v>
      </c>
      <c r="J29" s="140"/>
      <c r="K29" s="140"/>
      <c r="L29" s="140"/>
      <c r="M29" s="140"/>
      <c r="N29" s="140"/>
      <c r="O29" s="255" t="s">
        <v>39</v>
      </c>
      <c r="P29" s="255" t="s">
        <v>39</v>
      </c>
      <c r="Q29" s="140"/>
      <c r="R29" s="140"/>
      <c r="S29" s="140"/>
      <c r="T29" s="140"/>
      <c r="U29" s="140"/>
      <c r="V29" s="140"/>
      <c r="W29" s="140"/>
      <c r="X29" s="140"/>
      <c r="Y29" s="140"/>
      <c r="Z29" s="134"/>
      <c r="AA29" s="135"/>
      <c r="AB29" s="209"/>
      <c r="AC29" s="114"/>
    </row>
    <row r="30" spans="1:35" ht="12.75" hidden="1" customHeight="1">
      <c r="A30" s="140"/>
      <c r="B30" s="132" t="s">
        <v>47</v>
      </c>
      <c r="C30" s="132"/>
      <c r="D30" s="140"/>
      <c r="E30" s="140"/>
      <c r="F30" s="134">
        <f t="shared" si="12"/>
        <v>0</v>
      </c>
      <c r="G30" s="140"/>
      <c r="H30" s="140"/>
      <c r="I30" s="135">
        <v>0</v>
      </c>
      <c r="J30" s="140"/>
      <c r="K30" s="140"/>
      <c r="L30" s="140"/>
      <c r="M30" s="140"/>
      <c r="N30" s="140"/>
      <c r="O30" s="255" t="s">
        <v>39</v>
      </c>
      <c r="P30" s="255" t="s">
        <v>39</v>
      </c>
      <c r="Q30" s="140"/>
      <c r="R30" s="140"/>
      <c r="S30" s="140"/>
      <c r="T30" s="140"/>
      <c r="U30" s="140"/>
      <c r="V30" s="140"/>
      <c r="W30" s="140"/>
      <c r="X30" s="140"/>
      <c r="Y30" s="140"/>
      <c r="Z30" s="134"/>
      <c r="AA30" s="135"/>
      <c r="AB30" s="209"/>
      <c r="AC30" s="114"/>
    </row>
    <row r="31" spans="1:35" ht="12.75" customHeight="1">
      <c r="A31" s="139" t="s">
        <v>49</v>
      </c>
      <c r="B31" s="132" t="s">
        <v>47</v>
      </c>
      <c r="C31" s="281" t="s">
        <v>57</v>
      </c>
      <c r="D31" s="138">
        <v>46082</v>
      </c>
      <c r="E31" s="251">
        <v>96</v>
      </c>
      <c r="F31" s="134">
        <v>96</v>
      </c>
      <c r="G31" s="251">
        <v>96</v>
      </c>
      <c r="H31" s="251">
        <v>96</v>
      </c>
      <c r="I31" s="135">
        <v>0</v>
      </c>
      <c r="J31" s="140">
        <v>8</v>
      </c>
      <c r="K31" s="140">
        <v>8</v>
      </c>
      <c r="L31" s="140">
        <v>8</v>
      </c>
      <c r="M31" s="140">
        <v>8</v>
      </c>
      <c r="N31" s="140">
        <v>8</v>
      </c>
      <c r="O31" s="255" t="s">
        <v>39</v>
      </c>
      <c r="P31" s="255" t="s">
        <v>39</v>
      </c>
      <c r="Q31" s="140">
        <v>8</v>
      </c>
      <c r="R31" s="140">
        <v>8</v>
      </c>
      <c r="S31" s="140">
        <v>8</v>
      </c>
      <c r="T31" s="140">
        <v>8</v>
      </c>
      <c r="U31" s="140">
        <v>8</v>
      </c>
      <c r="V31" s="140"/>
      <c r="W31" s="140"/>
      <c r="X31" s="140">
        <v>8</v>
      </c>
      <c r="Y31" s="140">
        <v>8</v>
      </c>
      <c r="Z31" s="134"/>
      <c r="AA31" s="135"/>
      <c r="AB31" s="209"/>
      <c r="AC31" s="114"/>
    </row>
    <row r="32" spans="1:35" ht="12.75" customHeight="1">
      <c r="A32" s="228"/>
      <c r="B32" s="228"/>
      <c r="C32" s="223"/>
      <c r="D32" s="229"/>
      <c r="E32" s="224">
        <f t="shared" ref="E32:V32" si="16">SUM(E21:E30)</f>
        <v>528</v>
      </c>
      <c r="F32" s="224">
        <f t="shared" si="16"/>
        <v>528</v>
      </c>
      <c r="G32" s="224">
        <f t="shared" si="16"/>
        <v>488</v>
      </c>
      <c r="H32" s="224">
        <f t="shared" si="16"/>
        <v>488</v>
      </c>
      <c r="I32" s="224">
        <f t="shared" si="16"/>
        <v>0</v>
      </c>
      <c r="J32" s="224">
        <f t="shared" si="16"/>
        <v>44</v>
      </c>
      <c r="K32" s="224">
        <f t="shared" si="16"/>
        <v>44</v>
      </c>
      <c r="L32" s="224">
        <f t="shared" si="16"/>
        <v>44</v>
      </c>
      <c r="M32" s="224">
        <f t="shared" si="16"/>
        <v>36</v>
      </c>
      <c r="N32" s="224">
        <f t="shared" si="16"/>
        <v>36</v>
      </c>
      <c r="O32" s="224">
        <f t="shared" si="16"/>
        <v>0</v>
      </c>
      <c r="P32" s="224">
        <f t="shared" si="16"/>
        <v>0</v>
      </c>
      <c r="Q32" s="224">
        <f t="shared" si="16"/>
        <v>36</v>
      </c>
      <c r="R32" s="224">
        <f t="shared" si="16"/>
        <v>44</v>
      </c>
      <c r="S32" s="224">
        <f t="shared" si="16"/>
        <v>36</v>
      </c>
      <c r="T32" s="224">
        <f t="shared" si="16"/>
        <v>44</v>
      </c>
      <c r="U32" s="224">
        <f t="shared" si="16"/>
        <v>36</v>
      </c>
      <c r="V32" s="224">
        <f t="shared" si="16"/>
        <v>0</v>
      </c>
      <c r="W32" s="224"/>
      <c r="X32" s="224"/>
      <c r="Y32" s="224"/>
      <c r="Z32" s="224"/>
      <c r="AA32" s="224"/>
      <c r="AB32" s="210"/>
      <c r="AC32" s="114"/>
    </row>
    <row r="33" spans="1:29" ht="12.75" customHeight="1">
      <c r="A33" s="230"/>
      <c r="B33" s="230"/>
      <c r="C33" s="231"/>
      <c r="D33" s="232"/>
      <c r="E33" s="233"/>
      <c r="F33" s="233"/>
      <c r="G33" s="233"/>
      <c r="H33" s="227"/>
      <c r="I33" s="234"/>
      <c r="J33" s="234"/>
      <c r="K33" s="234"/>
      <c r="L33" s="234"/>
      <c r="M33" s="234"/>
      <c r="N33" s="234"/>
      <c r="O33" s="210"/>
      <c r="P33" s="210"/>
      <c r="Q33" s="234"/>
      <c r="R33" s="234"/>
      <c r="S33" s="234"/>
      <c r="T33" s="234"/>
      <c r="U33" s="234"/>
      <c r="V33" s="234"/>
      <c r="W33" s="234"/>
      <c r="X33" s="234"/>
      <c r="Y33" s="210"/>
      <c r="Z33" s="210"/>
      <c r="AA33" s="114"/>
      <c r="AB33" s="114"/>
      <c r="AC33" s="114"/>
    </row>
    <row r="34" spans="1:29" ht="12.75" customHeight="1" thickBot="1">
      <c r="A34" s="209"/>
      <c r="B34" s="209"/>
      <c r="C34" s="209"/>
      <c r="D34" s="209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48"/>
      <c r="AB34" s="120"/>
      <c r="AC34" s="114"/>
    </row>
    <row r="35" spans="1:29" ht="57.75" customHeight="1">
      <c r="A35" s="149" t="s">
        <v>1</v>
      </c>
      <c r="B35" s="150" t="s">
        <v>23</v>
      </c>
      <c r="C35" s="150" t="s">
        <v>24</v>
      </c>
      <c r="D35" s="246" t="s">
        <v>25</v>
      </c>
      <c r="E35" s="246" t="s">
        <v>38</v>
      </c>
      <c r="F35" s="120"/>
      <c r="G35" s="120"/>
      <c r="H35" s="120"/>
      <c r="I35" s="120"/>
      <c r="J35" s="120"/>
      <c r="K35" s="118"/>
      <c r="L35" s="118"/>
      <c r="M35" s="118"/>
      <c r="N35" s="118"/>
      <c r="O35" s="118"/>
      <c r="P35" s="118"/>
      <c r="Q35" s="120"/>
      <c r="R35" s="120"/>
      <c r="S35" s="120"/>
      <c r="T35" s="120"/>
      <c r="U35" s="120"/>
      <c r="V35" s="120"/>
      <c r="W35" s="120"/>
      <c r="X35" s="120"/>
      <c r="Y35" s="120"/>
      <c r="Z35" s="148"/>
      <c r="AA35" s="120"/>
      <c r="AB35" s="114"/>
    </row>
    <row r="36" spans="1:29" ht="13.5" customHeight="1">
      <c r="A36" s="131" t="s">
        <v>40</v>
      </c>
      <c r="B36" s="153">
        <f>G5+G21</f>
        <v>176</v>
      </c>
      <c r="C36" s="154">
        <f>F5+F21</f>
        <v>176</v>
      </c>
      <c r="D36" s="247">
        <f t="shared" ref="D36:D42" si="17">B36</f>
        <v>176</v>
      </c>
      <c r="E36" s="250">
        <v>33</v>
      </c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</row>
    <row r="37" spans="1:29" ht="13.5" customHeight="1">
      <c r="A37" s="131" t="s">
        <v>41</v>
      </c>
      <c r="B37" s="153">
        <f>G6+G22</f>
        <v>168</v>
      </c>
      <c r="C37" s="154">
        <f>F6+F22</f>
        <v>176</v>
      </c>
      <c r="D37" s="247">
        <f t="shared" si="17"/>
        <v>168</v>
      </c>
      <c r="E37" s="250">
        <v>32</v>
      </c>
      <c r="F37" s="114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48"/>
      <c r="AA37" s="120"/>
      <c r="AB37" s="114"/>
    </row>
    <row r="38" spans="1:29" ht="13.5" customHeight="1">
      <c r="A38" s="131" t="s">
        <v>42</v>
      </c>
      <c r="B38" s="153">
        <f>G7+G23</f>
        <v>176</v>
      </c>
      <c r="C38" s="154">
        <f>F7+F23</f>
        <v>176</v>
      </c>
      <c r="D38" s="247">
        <f t="shared" si="17"/>
        <v>176</v>
      </c>
      <c r="E38" s="250">
        <v>38</v>
      </c>
      <c r="F38" s="114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48"/>
      <c r="AA38" s="120"/>
      <c r="AB38" s="114"/>
    </row>
    <row r="39" spans="1:29" ht="13.5" customHeight="1">
      <c r="A39" s="131" t="s">
        <v>43</v>
      </c>
      <c r="B39" s="153">
        <f>G8+G24</f>
        <v>168</v>
      </c>
      <c r="C39" s="154">
        <f>F8+F24</f>
        <v>176</v>
      </c>
      <c r="D39" s="247">
        <f t="shared" si="17"/>
        <v>168</v>
      </c>
      <c r="E39" s="250">
        <v>30</v>
      </c>
      <c r="F39" s="114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48"/>
      <c r="AA39" s="120"/>
      <c r="AB39" s="114"/>
    </row>
    <row r="40" spans="1:29" ht="13.5" customHeight="1">
      <c r="A40" s="139" t="s">
        <v>44</v>
      </c>
      <c r="B40" s="216">
        <f>G9+G25</f>
        <v>88</v>
      </c>
      <c r="C40" s="217">
        <f>F9+F25</f>
        <v>88</v>
      </c>
      <c r="D40" s="248">
        <f t="shared" si="17"/>
        <v>88</v>
      </c>
      <c r="E40" s="250">
        <v>34</v>
      </c>
      <c r="F40" s="114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48"/>
      <c r="AA40" s="120"/>
      <c r="AB40" s="114"/>
    </row>
    <row r="41" spans="1:29" ht="13.5" customHeight="1">
      <c r="A41" s="139" t="s">
        <v>45</v>
      </c>
      <c r="B41" s="216">
        <v>136</v>
      </c>
      <c r="C41" s="217">
        <f>F10+F26</f>
        <v>176</v>
      </c>
      <c r="D41" s="248">
        <v>136</v>
      </c>
      <c r="E41" s="250">
        <v>33</v>
      </c>
      <c r="F41" s="114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48"/>
      <c r="AA41" s="120"/>
      <c r="AB41" s="114"/>
    </row>
    <row r="42" spans="1:29" ht="13.5" customHeight="1" thickBot="1">
      <c r="A42" s="139" t="s">
        <v>49</v>
      </c>
      <c r="B42" s="158">
        <v>160</v>
      </c>
      <c r="C42" s="159">
        <f>F10+F26</f>
        <v>176</v>
      </c>
      <c r="D42" s="249">
        <f t="shared" si="17"/>
        <v>160</v>
      </c>
      <c r="E42" s="250">
        <v>40</v>
      </c>
      <c r="F42" s="114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48"/>
      <c r="AA42" s="120"/>
      <c r="AB42" s="114"/>
    </row>
    <row r="43" spans="1:29" ht="13.5" hidden="1" customHeight="1">
      <c r="A43" s="140"/>
      <c r="B43" s="212">
        <f>H11+H27</f>
        <v>0</v>
      </c>
      <c r="C43" s="213">
        <f t="shared" ref="C43:D46" si="18">B43</f>
        <v>0</v>
      </c>
      <c r="D43" s="214">
        <f t="shared" si="18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3.5" hidden="1" customHeight="1">
      <c r="A44" s="140"/>
      <c r="B44" s="153">
        <f>H12+H28</f>
        <v>0</v>
      </c>
      <c r="C44" s="154">
        <f t="shared" si="18"/>
        <v>0</v>
      </c>
      <c r="D44" s="155">
        <f t="shared" si="18"/>
        <v>0</v>
      </c>
      <c r="F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3.5" hidden="1" customHeight="1">
      <c r="A45" s="140"/>
      <c r="B45" s="153">
        <f>H13+H29</f>
        <v>0</v>
      </c>
      <c r="C45" s="154">
        <f t="shared" si="18"/>
        <v>0</v>
      </c>
      <c r="D45" s="155">
        <f t="shared" si="18"/>
        <v>0</v>
      </c>
      <c r="F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3.5" hidden="1" customHeight="1">
      <c r="A46" s="139" t="s">
        <v>49</v>
      </c>
      <c r="B46" s="158">
        <f>H14+H30</f>
        <v>0</v>
      </c>
      <c r="C46" s="159">
        <f t="shared" si="18"/>
        <v>0</v>
      </c>
      <c r="D46" s="160">
        <f t="shared" si="18"/>
        <v>0</v>
      </c>
      <c r="F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20"/>
      <c r="B47" s="120"/>
      <c r="C47" s="120"/>
      <c r="D47" s="120"/>
      <c r="E47" s="163"/>
      <c r="F47" s="163"/>
      <c r="G47" s="163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 thickBot="1">
      <c r="A48" s="209"/>
      <c r="B48" s="209"/>
      <c r="C48" s="209"/>
      <c r="D48" s="120"/>
      <c r="E48" s="163"/>
      <c r="F48" s="163"/>
      <c r="G48" s="163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4.25" customHeight="1">
      <c r="A49" s="263" t="s">
        <v>0</v>
      </c>
      <c r="B49" s="264"/>
      <c r="C49" s="265"/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64" t="s">
        <v>26</v>
      </c>
      <c r="B50" s="165" t="s">
        <v>27</v>
      </c>
      <c r="C50" s="166" t="s">
        <v>28</v>
      </c>
      <c r="D50" s="209"/>
      <c r="E50" s="120"/>
      <c r="F50" s="120"/>
      <c r="G50" s="114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67" t="s">
        <v>29</v>
      </c>
      <c r="B51" s="168">
        <v>10</v>
      </c>
      <c r="C51" s="171">
        <f>B51*8</f>
        <v>80</v>
      </c>
      <c r="D51" s="209"/>
      <c r="E51" s="120"/>
      <c r="F51" s="120"/>
      <c r="G51" s="120"/>
      <c r="H51" s="114"/>
      <c r="I51" s="169"/>
      <c r="J51" s="169"/>
      <c r="K51" s="169"/>
      <c r="L51" s="169"/>
      <c r="M51" s="169"/>
      <c r="N51" s="169"/>
      <c r="O51" s="169"/>
      <c r="P51" s="114"/>
      <c r="Q51" s="114"/>
      <c r="R51" s="114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56" t="s">
        <v>30</v>
      </c>
      <c r="B52" s="170">
        <v>0</v>
      </c>
      <c r="C52" s="171">
        <f>B52*8</f>
        <v>0</v>
      </c>
      <c r="D52" s="209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2.75" customHeight="1" thickBot="1">
      <c r="A53" s="157" t="s">
        <v>31</v>
      </c>
      <c r="B53" s="172">
        <f t="shared" ref="B53:C53" si="19">B51-B52</f>
        <v>10</v>
      </c>
      <c r="C53" s="173">
        <f t="shared" si="19"/>
        <v>80</v>
      </c>
      <c r="D53" s="209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209"/>
      <c r="B54" s="209"/>
      <c r="C54" s="209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 thickBot="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4.25" customHeight="1">
      <c r="A56" s="263" t="s">
        <v>22</v>
      </c>
      <c r="B56" s="264"/>
      <c r="C56" s="265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64" t="s">
        <v>26</v>
      </c>
      <c r="B57" s="165" t="s">
        <v>27</v>
      </c>
      <c r="C57" s="166" t="s">
        <v>28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74" t="s">
        <v>29</v>
      </c>
      <c r="B58" s="168">
        <v>12</v>
      </c>
      <c r="C58" s="171">
        <f t="shared" ref="C58:C59" si="20">B58*8</f>
        <v>96</v>
      </c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74" t="s">
        <v>30</v>
      </c>
      <c r="B59" s="175">
        <v>0</v>
      </c>
      <c r="C59" s="171">
        <f t="shared" si="20"/>
        <v>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 thickBot="1">
      <c r="A60" s="176" t="s">
        <v>31</v>
      </c>
      <c r="B60" s="172">
        <f t="shared" ref="B60:C60" si="21">B58-B59</f>
        <v>12</v>
      </c>
      <c r="C60" s="173">
        <f t="shared" si="21"/>
        <v>96</v>
      </c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 thickBo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 thickBot="1">
      <c r="A62" s="120"/>
      <c r="B62" s="177" t="s">
        <v>32</v>
      </c>
      <c r="C62" s="178">
        <f>C53+C60</f>
        <v>176</v>
      </c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79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79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79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48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48"/>
      <c r="AB79" s="120"/>
      <c r="AC79" s="114"/>
    </row>
    <row r="80" spans="1:29" ht="12.75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48"/>
      <c r="AB80" s="120"/>
      <c r="AC80" s="114"/>
    </row>
    <row r="81" spans="1:29" ht="12.7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14"/>
      <c r="AB81" s="120"/>
      <c r="AC81" s="114"/>
    </row>
    <row r="82" spans="1:29" ht="12.75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14"/>
      <c r="AB82" s="114"/>
      <c r="AC82" s="114"/>
    </row>
    <row r="83" spans="1:29" ht="12.75" customHeight="1">
      <c r="A83" s="114"/>
      <c r="B83" s="114"/>
      <c r="C83" s="114"/>
      <c r="D83" s="114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14"/>
      <c r="AB83" s="114"/>
      <c r="AC83" s="114"/>
    </row>
    <row r="84" spans="1:29" ht="12.75" customHeight="1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</row>
    <row r="263" s="115" customFormat="1"/>
    <row r="264" s="115" customFormat="1"/>
    <row r="265" s="115" customFormat="1"/>
    <row r="266" s="115" customFormat="1"/>
    <row r="267" s="115" customFormat="1"/>
    <row r="268" s="115" customFormat="1"/>
    <row r="269" s="115" customFormat="1"/>
    <row r="270" s="115" customFormat="1"/>
    <row r="271" s="115" customFormat="1"/>
    <row r="272" s="115" customFormat="1"/>
    <row r="273" s="115" customFormat="1"/>
    <row r="274" s="115" customFormat="1"/>
    <row r="275" s="115" customFormat="1"/>
    <row r="276" s="115" customFormat="1"/>
    <row r="277" s="115" customFormat="1"/>
    <row r="278" s="115" customFormat="1"/>
    <row r="279" s="115" customFormat="1"/>
    <row r="280" s="115" customFormat="1"/>
    <row r="281" s="115" customFormat="1"/>
    <row r="282" s="115" customFormat="1"/>
    <row r="283" s="115" customFormat="1"/>
    <row r="284" s="115" customFormat="1"/>
    <row r="285" s="115" customFormat="1"/>
    <row r="286" s="115" customFormat="1"/>
    <row r="287" s="115" customFormat="1"/>
    <row r="288" s="115" customFormat="1"/>
    <row r="289" s="115" customFormat="1"/>
    <row r="290" s="115" customFormat="1"/>
    <row r="291" s="115" customFormat="1"/>
    <row r="292" s="115" customFormat="1"/>
    <row r="293" s="115" customFormat="1"/>
    <row r="294" s="115" customFormat="1"/>
    <row r="295" s="115" customFormat="1"/>
    <row r="296" s="115" customFormat="1"/>
    <row r="297" s="115" customFormat="1"/>
    <row r="298" s="115" customFormat="1"/>
    <row r="299" s="115" customFormat="1"/>
    <row r="300" s="115" customFormat="1"/>
    <row r="301" s="115" customFormat="1"/>
    <row r="302" s="115" customFormat="1"/>
    <row r="303" s="115" customFormat="1"/>
    <row r="304" s="115" customFormat="1"/>
    <row r="305" s="115" customFormat="1"/>
    <row r="306" s="115" customFormat="1"/>
    <row r="307" s="115" customFormat="1"/>
    <row r="308" s="115" customFormat="1"/>
    <row r="309" s="115" customFormat="1"/>
    <row r="310" s="115" customFormat="1"/>
    <row r="311" s="115" customFormat="1"/>
    <row r="312" s="115" customFormat="1"/>
    <row r="313" s="115" customFormat="1"/>
    <row r="314" s="115" customFormat="1"/>
    <row r="315" s="115" customFormat="1"/>
    <row r="316" s="115" customFormat="1"/>
    <row r="317" s="115" customFormat="1"/>
    <row r="318" s="115" customFormat="1"/>
    <row r="319" s="115" customFormat="1"/>
    <row r="320" s="115" customFormat="1"/>
    <row r="321" s="115" customFormat="1"/>
    <row r="322" s="115" customFormat="1"/>
    <row r="323" s="115" customFormat="1"/>
    <row r="324" s="115" customFormat="1"/>
    <row r="325" s="115" customFormat="1"/>
    <row r="326" s="115" customFormat="1"/>
    <row r="327" s="115" customFormat="1"/>
    <row r="328" s="115" customFormat="1"/>
    <row r="329" s="115" customFormat="1"/>
    <row r="330" s="115" customFormat="1"/>
    <row r="331" s="115" customFormat="1"/>
    <row r="332" s="115" customFormat="1"/>
    <row r="333" s="115" customFormat="1"/>
    <row r="334" s="115" customFormat="1"/>
    <row r="335" s="115" customFormat="1"/>
    <row r="336" s="115" customFormat="1"/>
    <row r="337" s="115" customFormat="1"/>
    <row r="338" s="115" customFormat="1"/>
    <row r="339" s="115" customFormat="1"/>
    <row r="340" s="115" customFormat="1"/>
    <row r="341" s="115" customFormat="1"/>
    <row r="342" s="115" customFormat="1"/>
    <row r="343" s="115" customFormat="1"/>
    <row r="344" s="115" customFormat="1"/>
    <row r="345" s="115" customFormat="1"/>
    <row r="346" s="115" customFormat="1"/>
    <row r="347" s="115" customFormat="1"/>
    <row r="348" s="115" customFormat="1"/>
    <row r="349" s="115" customFormat="1"/>
    <row r="350" s="115" customFormat="1"/>
    <row r="351" s="115" customFormat="1"/>
    <row r="352" s="115" customFormat="1"/>
    <row r="353" s="115" customFormat="1"/>
    <row r="354" s="115" customFormat="1"/>
    <row r="355" s="115" customFormat="1"/>
    <row r="356" s="115" customFormat="1"/>
    <row r="357" s="115" customFormat="1"/>
    <row r="358" s="115" customFormat="1"/>
    <row r="359" s="115" customFormat="1"/>
    <row r="360" s="115" customFormat="1"/>
    <row r="361" s="115" customFormat="1"/>
    <row r="362" s="115" customFormat="1"/>
    <row r="363" s="115" customFormat="1"/>
    <row r="364" s="115" customFormat="1"/>
    <row r="365" s="115" customFormat="1"/>
    <row r="366" s="115" customFormat="1"/>
    <row r="367" s="115" customFormat="1"/>
    <row r="368" s="115" customFormat="1"/>
    <row r="369" s="115" customFormat="1"/>
    <row r="370" s="115" customFormat="1"/>
    <row r="371" s="115" customFormat="1"/>
    <row r="372" s="115" customFormat="1"/>
    <row r="373" s="115" customFormat="1"/>
    <row r="374" s="115" customFormat="1"/>
    <row r="375" s="115" customFormat="1"/>
    <row r="376" s="115" customFormat="1"/>
    <row r="377" s="115" customFormat="1"/>
    <row r="378" s="115" customFormat="1"/>
    <row r="379" s="115" customFormat="1"/>
    <row r="380" s="115" customFormat="1"/>
    <row r="381" s="115" customFormat="1"/>
    <row r="382" s="115" customFormat="1"/>
    <row r="383" s="115" customFormat="1"/>
    <row r="384" s="115" customFormat="1"/>
    <row r="385" s="115" customFormat="1"/>
    <row r="386" s="115" customFormat="1"/>
    <row r="387" s="115" customFormat="1"/>
    <row r="388" s="115" customFormat="1"/>
    <row r="389" s="115" customFormat="1"/>
    <row r="390" s="115" customFormat="1"/>
    <row r="391" s="115" customFormat="1"/>
    <row r="392" s="115" customFormat="1"/>
    <row r="393" s="115" customFormat="1"/>
    <row r="394" s="115" customFormat="1"/>
    <row r="395" s="115" customFormat="1"/>
    <row r="396" s="115" customFormat="1"/>
    <row r="397" s="115" customFormat="1"/>
    <row r="398" s="115" customFormat="1"/>
    <row r="399" s="115" customFormat="1"/>
    <row r="400" s="115" customFormat="1"/>
    <row r="401" s="115" customFormat="1"/>
    <row r="402" s="115" customFormat="1"/>
    <row r="403" s="115" customFormat="1"/>
    <row r="404" s="115" customFormat="1"/>
    <row r="405" s="115" customFormat="1"/>
    <row r="406" s="115" customFormat="1"/>
    <row r="407" s="115" customFormat="1"/>
    <row r="408" s="115" customFormat="1"/>
    <row r="409" s="115" customFormat="1"/>
    <row r="410" s="115" customFormat="1"/>
    <row r="411" s="115" customFormat="1"/>
    <row r="412" s="115" customFormat="1"/>
    <row r="413" s="115" customFormat="1"/>
    <row r="414" s="115" customFormat="1"/>
    <row r="415" s="115" customFormat="1"/>
    <row r="416" s="115" customFormat="1"/>
    <row r="417" s="115" customFormat="1"/>
    <row r="418" s="115" customFormat="1"/>
    <row r="419" s="115" customFormat="1"/>
    <row r="420" s="115" customFormat="1"/>
    <row r="421" s="115" customFormat="1"/>
    <row r="422" s="115" customFormat="1"/>
    <row r="423" s="115" customFormat="1"/>
    <row r="424" s="115" customFormat="1"/>
    <row r="425" s="115" customFormat="1"/>
    <row r="426" s="115" customFormat="1"/>
    <row r="427" s="115" customFormat="1"/>
    <row r="428" s="115" customFormat="1"/>
    <row r="429" s="115" customFormat="1"/>
    <row r="430" s="115" customFormat="1"/>
    <row r="431" s="115" customFormat="1"/>
    <row r="432" s="115" customFormat="1"/>
    <row r="433" s="115" customFormat="1"/>
    <row r="434" s="115" customFormat="1"/>
    <row r="435" s="115" customFormat="1"/>
    <row r="436" s="115" customFormat="1"/>
    <row r="437" s="115" customFormat="1"/>
    <row r="438" s="115" customFormat="1"/>
    <row r="439" s="115" customFormat="1"/>
    <row r="440" s="115" customFormat="1"/>
    <row r="441" s="115" customFormat="1"/>
    <row r="442" s="115" customFormat="1"/>
    <row r="443" s="115" customFormat="1"/>
    <row r="444" s="115" customFormat="1"/>
    <row r="445" s="115" customFormat="1"/>
    <row r="446" s="115" customFormat="1"/>
    <row r="447" s="115" customFormat="1"/>
    <row r="448" s="115" customFormat="1"/>
    <row r="449" s="115" customFormat="1"/>
    <row r="450" s="115" customFormat="1"/>
    <row r="451" s="115" customFormat="1"/>
    <row r="452" s="115" customFormat="1"/>
    <row r="453" s="115" customFormat="1"/>
    <row r="454" s="115" customFormat="1"/>
    <row r="455" s="115" customFormat="1"/>
    <row r="456" s="115" customFormat="1"/>
    <row r="457" s="115" customFormat="1"/>
    <row r="458" s="115" customFormat="1"/>
    <row r="459" s="115" customFormat="1"/>
    <row r="460" s="115" customFormat="1"/>
    <row r="461" s="115" customFormat="1"/>
    <row r="462" s="115" customFormat="1"/>
    <row r="463" s="115" customFormat="1"/>
    <row r="464" s="115" customFormat="1"/>
    <row r="465" s="115" customFormat="1"/>
    <row r="466" s="115" customFormat="1"/>
    <row r="467" s="115" customFormat="1"/>
    <row r="468" s="115" customFormat="1"/>
    <row r="469" s="115" customFormat="1"/>
    <row r="470" s="115" customFormat="1"/>
    <row r="471" s="115" customFormat="1"/>
    <row r="472" s="115" customFormat="1"/>
    <row r="473" s="115" customFormat="1"/>
    <row r="474" s="115" customFormat="1"/>
    <row r="475" s="115" customFormat="1"/>
    <row r="476" s="115" customFormat="1"/>
    <row r="477" s="115" customFormat="1"/>
    <row r="478" s="115" customFormat="1"/>
    <row r="479" s="115" customFormat="1"/>
    <row r="480" s="115" customFormat="1"/>
    <row r="481" s="115" customFormat="1"/>
    <row r="482" s="115" customFormat="1"/>
    <row r="483" s="115" customFormat="1"/>
    <row r="484" s="115" customFormat="1"/>
    <row r="485" s="115" customFormat="1"/>
    <row r="486" s="115" customFormat="1"/>
    <row r="487" s="115" customFormat="1"/>
    <row r="488" s="115" customFormat="1"/>
    <row r="489" s="115" customFormat="1"/>
    <row r="490" s="115" customFormat="1"/>
    <row r="491" s="115" customFormat="1"/>
    <row r="492" s="115" customFormat="1"/>
    <row r="493" s="115" customFormat="1"/>
    <row r="494" s="115" customFormat="1"/>
    <row r="495" s="115" customFormat="1"/>
    <row r="496" s="115" customFormat="1"/>
    <row r="497" s="115" customFormat="1"/>
    <row r="498" s="115" customFormat="1"/>
    <row r="499" s="115" customFormat="1"/>
    <row r="500" s="115" customFormat="1"/>
    <row r="501" s="115" customFormat="1"/>
    <row r="502" s="115" customFormat="1"/>
    <row r="503" s="115" customFormat="1"/>
    <row r="504" s="115" customFormat="1"/>
    <row r="505" s="115" customFormat="1"/>
    <row r="506" s="115" customFormat="1"/>
    <row r="507" s="115" customFormat="1"/>
    <row r="508" s="115" customFormat="1"/>
    <row r="509" s="115" customFormat="1"/>
    <row r="510" s="115" customFormat="1"/>
    <row r="511" s="115" customFormat="1"/>
    <row r="512" s="115" customFormat="1"/>
    <row r="513" s="115" customFormat="1"/>
    <row r="514" s="115" customFormat="1"/>
    <row r="515" s="115" customFormat="1"/>
    <row r="516" s="115" customFormat="1"/>
    <row r="517" s="115" customFormat="1"/>
    <row r="518" s="115" customFormat="1"/>
    <row r="519" s="115" customFormat="1"/>
    <row r="520" s="115" customFormat="1"/>
    <row r="521" s="115" customFormat="1"/>
    <row r="522" s="115" customFormat="1"/>
    <row r="523" s="115" customFormat="1"/>
    <row r="524" s="115" customFormat="1"/>
    <row r="525" s="115" customFormat="1"/>
    <row r="526" s="115" customFormat="1"/>
    <row r="527" s="115" customFormat="1"/>
    <row r="528" s="115" customFormat="1"/>
    <row r="529" s="115" customFormat="1"/>
    <row r="530" s="115" customFormat="1"/>
    <row r="531" s="115" customFormat="1"/>
    <row r="532" s="115" customFormat="1"/>
    <row r="533" s="115" customFormat="1"/>
    <row r="534" s="115" customFormat="1"/>
    <row r="535" s="115" customFormat="1"/>
    <row r="536" s="115" customFormat="1"/>
    <row r="537" s="115" customFormat="1"/>
    <row r="538" s="115" customFormat="1"/>
    <row r="539" s="115" customFormat="1"/>
    <row r="540" s="115" customFormat="1"/>
    <row r="541" s="115" customFormat="1"/>
    <row r="542" s="115" customFormat="1"/>
    <row r="543" s="115" customFormat="1"/>
    <row r="544" s="115" customFormat="1"/>
    <row r="545" s="115" customFormat="1"/>
    <row r="546" s="115" customFormat="1"/>
    <row r="547" s="115" customFormat="1"/>
    <row r="548" s="115" customFormat="1"/>
    <row r="549" s="115" customFormat="1"/>
    <row r="550" s="115" customFormat="1"/>
    <row r="551" s="115" customFormat="1"/>
    <row r="552" s="115" customFormat="1"/>
    <row r="553" s="115" customFormat="1"/>
    <row r="554" s="115" customFormat="1"/>
    <row r="555" s="115" customFormat="1"/>
    <row r="556" s="115" customFormat="1"/>
    <row r="557" s="115" customFormat="1"/>
    <row r="558" s="115" customFormat="1"/>
    <row r="559" s="115" customFormat="1"/>
    <row r="560" s="115" customFormat="1"/>
    <row r="561" s="115" customFormat="1"/>
    <row r="562" s="115" customFormat="1"/>
    <row r="563" s="115" customFormat="1"/>
    <row r="564" s="115" customFormat="1"/>
    <row r="565" s="115" customFormat="1"/>
    <row r="566" s="115" customFormat="1"/>
    <row r="567" s="115" customFormat="1"/>
    <row r="568" s="115" customFormat="1"/>
    <row r="569" s="115" customFormat="1"/>
    <row r="570" s="115" customFormat="1"/>
    <row r="571" s="115" customFormat="1"/>
    <row r="572" s="115" customFormat="1"/>
    <row r="573" s="115" customFormat="1"/>
    <row r="574" s="115" customFormat="1"/>
    <row r="575" s="115" customFormat="1"/>
    <row r="576" s="115" customFormat="1"/>
    <row r="577" s="115" customFormat="1"/>
    <row r="578" s="115" customFormat="1"/>
    <row r="579" s="115" customFormat="1"/>
    <row r="580" s="115" customFormat="1"/>
    <row r="581" s="115" customFormat="1"/>
    <row r="582" s="115" customFormat="1"/>
    <row r="583" s="115" customFormat="1"/>
    <row r="584" s="115" customFormat="1"/>
    <row r="585" s="115" customFormat="1"/>
    <row r="586" s="115" customFormat="1"/>
    <row r="587" s="115" customFormat="1"/>
    <row r="588" s="115" customFormat="1"/>
    <row r="589" s="115" customFormat="1"/>
    <row r="590" s="115" customFormat="1"/>
    <row r="591" s="115" customFormat="1"/>
    <row r="592" s="115" customFormat="1"/>
    <row r="593" s="115" customFormat="1"/>
    <row r="594" s="115" customFormat="1"/>
    <row r="595" s="115" customFormat="1"/>
    <row r="596" s="115" customFormat="1"/>
    <row r="597" s="115" customFormat="1"/>
    <row r="598" s="115" customFormat="1"/>
    <row r="599" s="115" customFormat="1"/>
    <row r="600" s="115" customFormat="1"/>
    <row r="601" s="115" customFormat="1"/>
    <row r="602" s="115" customFormat="1"/>
    <row r="603" s="115" customFormat="1"/>
    <row r="604" s="115" customFormat="1"/>
    <row r="605" s="115" customFormat="1"/>
    <row r="606" s="115" customFormat="1"/>
    <row r="607" s="115" customFormat="1"/>
    <row r="608" s="115" customFormat="1"/>
    <row r="609" s="115" customFormat="1"/>
    <row r="610" s="115" customFormat="1"/>
    <row r="611" s="115" customFormat="1"/>
    <row r="612" s="115" customFormat="1"/>
    <row r="613" s="115" customFormat="1"/>
    <row r="614" s="115" customFormat="1"/>
    <row r="615" s="115" customFormat="1"/>
    <row r="616" s="115" customFormat="1"/>
    <row r="617" s="115" customFormat="1"/>
    <row r="618" s="115" customFormat="1"/>
    <row r="619" s="115" customFormat="1"/>
    <row r="620" s="115" customFormat="1"/>
    <row r="621" s="115" customFormat="1"/>
    <row r="622" s="115" customFormat="1"/>
    <row r="623" s="115" customFormat="1"/>
    <row r="624" s="115" customFormat="1"/>
    <row r="625" s="115" customFormat="1"/>
    <row r="626" s="115" customFormat="1"/>
    <row r="627" s="115" customFormat="1"/>
    <row r="628" s="115" customFormat="1"/>
    <row r="629" s="115" customFormat="1"/>
    <row r="630" s="115" customFormat="1"/>
    <row r="631" s="115" customFormat="1"/>
    <row r="632" s="115" customFormat="1"/>
    <row r="633" s="115" customFormat="1"/>
    <row r="634" s="115" customFormat="1"/>
    <row r="635" s="115" customFormat="1"/>
    <row r="636" s="115" customFormat="1"/>
    <row r="637" s="115" customFormat="1"/>
    <row r="638" s="115" customFormat="1"/>
    <row r="639" s="115" customFormat="1"/>
    <row r="640" s="115" customFormat="1"/>
    <row r="641" s="115" customFormat="1"/>
    <row r="642" s="115" customFormat="1"/>
    <row r="643" s="115" customFormat="1"/>
    <row r="644" s="115" customFormat="1"/>
    <row r="645" s="115" customFormat="1"/>
    <row r="646" s="115" customFormat="1"/>
    <row r="647" s="115" customFormat="1"/>
    <row r="648" s="115" customFormat="1"/>
    <row r="649" s="115" customFormat="1"/>
    <row r="650" s="115" customFormat="1"/>
    <row r="651" s="115" customFormat="1"/>
    <row r="652" s="115" customFormat="1"/>
    <row r="653" s="115" customFormat="1"/>
    <row r="654" s="115" customFormat="1"/>
    <row r="655" s="115" customFormat="1"/>
    <row r="656" s="115" customFormat="1"/>
    <row r="657" s="115" customFormat="1"/>
    <row r="658" s="115" customFormat="1"/>
    <row r="659" s="115" customFormat="1"/>
    <row r="660" s="115" customFormat="1"/>
    <row r="661" s="115" customFormat="1"/>
    <row r="662" s="115" customFormat="1"/>
    <row r="663" s="115" customFormat="1"/>
    <row r="664" s="115" customFormat="1"/>
    <row r="665" s="115" customFormat="1"/>
    <row r="666" s="115" customFormat="1"/>
    <row r="667" s="115" customFormat="1"/>
    <row r="668" s="115" customFormat="1"/>
    <row r="669" s="115" customFormat="1"/>
    <row r="670" s="115" customFormat="1"/>
    <row r="671" s="115" customFormat="1"/>
    <row r="672" s="115" customFormat="1"/>
    <row r="673" s="115" customFormat="1"/>
    <row r="674" s="115" customFormat="1"/>
    <row r="675" s="115" customFormat="1"/>
    <row r="676" s="115" customFormat="1"/>
    <row r="677" s="115" customFormat="1"/>
    <row r="678" s="115" customFormat="1"/>
    <row r="679" s="115" customFormat="1"/>
    <row r="680" s="115" customFormat="1"/>
    <row r="681" s="115" customFormat="1"/>
    <row r="682" s="115" customFormat="1"/>
    <row r="683" s="115" customFormat="1"/>
    <row r="684" s="115" customFormat="1"/>
    <row r="685" s="115" customFormat="1"/>
    <row r="686" s="115" customFormat="1"/>
    <row r="687" s="115" customFormat="1"/>
    <row r="688" s="115" customFormat="1"/>
    <row r="689" s="115" customFormat="1"/>
    <row r="690" s="115" customFormat="1"/>
    <row r="691" s="115" customFormat="1"/>
    <row r="692" s="115" customFormat="1"/>
    <row r="693" s="115" customFormat="1"/>
    <row r="694" s="115" customFormat="1"/>
    <row r="695" s="115" customFormat="1"/>
    <row r="696" s="115" customFormat="1"/>
    <row r="697" s="115" customFormat="1"/>
    <row r="698" s="115" customFormat="1"/>
    <row r="699" s="115" customFormat="1"/>
    <row r="700" s="115" customFormat="1"/>
    <row r="701" s="115" customFormat="1"/>
    <row r="702" s="115" customFormat="1"/>
    <row r="703" s="115" customFormat="1"/>
    <row r="704" s="115" customFormat="1"/>
    <row r="705" s="115" customFormat="1"/>
    <row r="706" s="115" customFormat="1"/>
    <row r="707" s="115" customFormat="1"/>
    <row r="708" s="115" customFormat="1"/>
    <row r="709" s="115" customFormat="1"/>
    <row r="710" s="115" customFormat="1"/>
    <row r="711" s="115" customFormat="1"/>
    <row r="712" s="115" customFormat="1"/>
    <row r="713" s="115" customFormat="1"/>
    <row r="714" s="115" customFormat="1"/>
    <row r="715" s="115" customFormat="1"/>
    <row r="716" s="115" customFormat="1"/>
    <row r="717" s="115" customFormat="1"/>
    <row r="718" s="115" customFormat="1"/>
    <row r="719" s="115" customFormat="1"/>
    <row r="720" s="115" customFormat="1"/>
    <row r="721" s="115" customFormat="1"/>
    <row r="722" s="115" customFormat="1"/>
    <row r="723" s="115" customFormat="1"/>
    <row r="724" s="115" customFormat="1"/>
    <row r="725" s="115" customFormat="1"/>
    <row r="726" s="115" customFormat="1"/>
    <row r="727" s="115" customFormat="1"/>
    <row r="728" s="115" customFormat="1"/>
    <row r="729" s="115" customFormat="1"/>
    <row r="730" s="115" customFormat="1"/>
    <row r="731" s="115" customFormat="1"/>
    <row r="732" s="115" customFormat="1"/>
    <row r="733" s="115" customFormat="1"/>
    <row r="734" s="115" customFormat="1"/>
    <row r="735" s="115" customFormat="1"/>
    <row r="736" s="115" customFormat="1"/>
    <row r="737" s="115" customFormat="1"/>
    <row r="738" s="115" customFormat="1"/>
    <row r="739" s="115" customFormat="1"/>
    <row r="740" s="115" customFormat="1"/>
    <row r="741" s="115" customFormat="1"/>
    <row r="742" s="115" customFormat="1"/>
    <row r="743" s="115" customFormat="1"/>
    <row r="744" s="115" customFormat="1"/>
    <row r="745" s="115" customFormat="1"/>
    <row r="746" s="115" customFormat="1"/>
    <row r="747" s="115" customFormat="1"/>
    <row r="748" s="115" customFormat="1"/>
    <row r="749" s="115" customFormat="1"/>
    <row r="750" s="115" customFormat="1"/>
    <row r="751" s="115" customFormat="1"/>
    <row r="752" s="115" customFormat="1"/>
    <row r="753" s="115" customFormat="1"/>
    <row r="754" s="115" customFormat="1"/>
    <row r="755" s="115" customFormat="1"/>
    <row r="756" s="115" customFormat="1"/>
    <row r="757" s="115" customFormat="1"/>
    <row r="758" s="115" customFormat="1"/>
    <row r="759" s="115" customFormat="1"/>
    <row r="760" s="115" customFormat="1"/>
    <row r="761" s="115" customFormat="1"/>
    <row r="762" s="115" customFormat="1"/>
    <row r="763" s="115" customFormat="1"/>
    <row r="764" s="115" customFormat="1"/>
    <row r="765" s="115" customFormat="1"/>
    <row r="766" s="115" customFormat="1"/>
    <row r="767" s="115" customFormat="1"/>
    <row r="768" s="115" customFormat="1"/>
    <row r="769" s="115" customFormat="1"/>
    <row r="770" s="115" customFormat="1"/>
    <row r="771" s="115" customFormat="1"/>
    <row r="772" s="115" customFormat="1"/>
    <row r="773" s="115" customFormat="1"/>
    <row r="774" s="115" customFormat="1"/>
    <row r="775" s="115" customFormat="1"/>
    <row r="776" s="115" customFormat="1"/>
    <row r="777" s="115" customFormat="1"/>
    <row r="778" s="115" customFormat="1"/>
    <row r="779" s="115" customFormat="1"/>
    <row r="780" s="115" customFormat="1"/>
    <row r="781" s="115" customFormat="1"/>
    <row r="782" s="115" customFormat="1"/>
    <row r="783" s="115" customFormat="1"/>
    <row r="784" s="115" customFormat="1"/>
    <row r="785" s="115" customFormat="1"/>
    <row r="786" s="115" customFormat="1"/>
    <row r="787" s="115" customFormat="1"/>
    <row r="788" s="115" customFormat="1"/>
    <row r="789" s="115" customFormat="1"/>
    <row r="790" s="115" customFormat="1"/>
    <row r="791" s="115" customFormat="1"/>
    <row r="792" s="115" customFormat="1"/>
    <row r="793" s="115" customFormat="1"/>
    <row r="794" s="115" customFormat="1"/>
    <row r="795" s="115" customFormat="1"/>
    <row r="796" s="115" customFormat="1"/>
    <row r="797" s="115" customFormat="1"/>
    <row r="798" s="115" customFormat="1"/>
    <row r="799" s="115" customFormat="1"/>
    <row r="800" s="115" customFormat="1"/>
    <row r="801" s="115" customFormat="1"/>
    <row r="802" s="115" customFormat="1"/>
    <row r="803" s="115" customFormat="1"/>
    <row r="804" s="115" customFormat="1"/>
    <row r="805" s="115" customFormat="1"/>
    <row r="806" s="115" customFormat="1"/>
    <row r="807" s="115" customFormat="1"/>
    <row r="808" s="115" customFormat="1"/>
    <row r="809" s="115" customFormat="1"/>
    <row r="810" s="115" customFormat="1"/>
    <row r="811" s="115" customFormat="1"/>
    <row r="812" s="115" customFormat="1"/>
    <row r="813" s="115" customFormat="1"/>
    <row r="814" s="115" customFormat="1"/>
    <row r="815" s="115" customFormat="1"/>
    <row r="816" s="115" customFormat="1"/>
    <row r="817" s="115" customFormat="1"/>
    <row r="818" s="115" customFormat="1"/>
    <row r="819" s="115" customFormat="1"/>
    <row r="820" s="115" customFormat="1"/>
    <row r="821" s="115" customFormat="1"/>
    <row r="822" s="115" customFormat="1"/>
    <row r="823" s="115" customFormat="1"/>
    <row r="824" s="115" customFormat="1"/>
    <row r="825" s="115" customFormat="1"/>
    <row r="826" s="115" customFormat="1"/>
    <row r="827" s="115" customFormat="1"/>
    <row r="828" s="115" customFormat="1"/>
    <row r="829" s="115" customFormat="1"/>
    <row r="830" s="115" customFormat="1"/>
    <row r="831" s="115" customFormat="1"/>
    <row r="832" s="115" customFormat="1"/>
    <row r="833" s="115" customFormat="1"/>
    <row r="834" s="115" customFormat="1"/>
    <row r="835" s="115" customFormat="1"/>
    <row r="836" s="115" customFormat="1"/>
    <row r="837" s="115" customFormat="1"/>
    <row r="838" s="115" customFormat="1"/>
    <row r="839" s="115" customFormat="1"/>
    <row r="840" s="115" customFormat="1"/>
    <row r="841" s="115" customFormat="1"/>
    <row r="842" s="115" customFormat="1"/>
    <row r="843" s="115" customFormat="1"/>
    <row r="844" s="115" customFormat="1"/>
    <row r="845" s="115" customFormat="1"/>
    <row r="846" s="115" customFormat="1"/>
    <row r="847" s="115" customFormat="1"/>
    <row r="848" s="115" customFormat="1"/>
    <row r="849" s="115" customFormat="1"/>
    <row r="850" s="115" customFormat="1"/>
    <row r="851" s="115" customFormat="1"/>
    <row r="852" s="115" customFormat="1"/>
    <row r="853" s="115" customFormat="1"/>
    <row r="854" s="115" customFormat="1"/>
    <row r="855" s="115" customFormat="1"/>
    <row r="856" s="115" customFormat="1"/>
    <row r="857" s="115" customFormat="1"/>
    <row r="858" s="115" customFormat="1"/>
    <row r="859" s="115" customFormat="1"/>
    <row r="860" s="115" customFormat="1"/>
    <row r="861" s="115" customFormat="1"/>
    <row r="862" s="115" customFormat="1"/>
    <row r="863" s="115" customFormat="1"/>
    <row r="864" s="115" customFormat="1"/>
    <row r="865" s="115" customFormat="1"/>
    <row r="866" s="115" customFormat="1"/>
    <row r="867" s="115" customFormat="1"/>
    <row r="868" s="115" customFormat="1"/>
    <row r="869" s="115" customFormat="1"/>
    <row r="870" s="115" customFormat="1"/>
    <row r="871" s="115" customFormat="1"/>
    <row r="872" s="115" customFormat="1"/>
    <row r="873" s="115" customFormat="1"/>
    <row r="874" s="115" customFormat="1"/>
    <row r="875" s="115" customFormat="1"/>
    <row r="876" s="115" customFormat="1"/>
    <row r="877" s="115" customFormat="1"/>
    <row r="878" s="115" customFormat="1"/>
    <row r="879" s="115" customFormat="1"/>
    <row r="880" s="115" customFormat="1"/>
    <row r="881" s="115" customFormat="1"/>
    <row r="882" s="115" customFormat="1"/>
    <row r="883" s="115" customFormat="1"/>
    <row r="884" s="115" customFormat="1"/>
    <row r="885" s="115" customFormat="1"/>
    <row r="886" s="115" customFormat="1"/>
    <row r="887" s="115" customFormat="1"/>
    <row r="888" s="115" customFormat="1"/>
    <row r="889" s="115" customFormat="1"/>
    <row r="890" s="115" customFormat="1"/>
    <row r="891" s="115" customFormat="1"/>
    <row r="892" s="115" customFormat="1"/>
    <row r="893" s="115" customFormat="1"/>
    <row r="894" s="115" customFormat="1"/>
    <row r="895" s="115" customFormat="1"/>
    <row r="896" s="115" customFormat="1"/>
    <row r="897" s="115" customFormat="1"/>
    <row r="898" s="115" customFormat="1"/>
    <row r="899" s="115" customFormat="1"/>
    <row r="900" s="115" customFormat="1"/>
    <row r="901" s="115" customFormat="1"/>
    <row r="902" s="115" customFormat="1"/>
    <row r="903" s="115" customFormat="1"/>
    <row r="904" s="115" customFormat="1"/>
    <row r="905" s="115" customFormat="1"/>
    <row r="906" s="115" customFormat="1"/>
    <row r="907" s="115" customFormat="1"/>
    <row r="908" s="115" customFormat="1"/>
    <row r="909" s="115" customFormat="1"/>
    <row r="910" s="115" customFormat="1"/>
    <row r="911" s="115" customFormat="1"/>
    <row r="912" s="115" customFormat="1"/>
    <row r="913" s="115" customFormat="1"/>
    <row r="914" s="115" customFormat="1"/>
    <row r="915" s="115" customFormat="1"/>
    <row r="916" s="115" customFormat="1"/>
    <row r="917" s="115" customFormat="1"/>
    <row r="918" s="115" customFormat="1"/>
    <row r="919" s="115" customFormat="1"/>
    <row r="920" s="115" customFormat="1"/>
    <row r="921" s="115" customFormat="1"/>
    <row r="922" s="115" customFormat="1"/>
    <row r="923" s="115" customFormat="1"/>
    <row r="924" s="115" customFormat="1"/>
    <row r="925" s="115" customFormat="1"/>
    <row r="926" s="115" customFormat="1"/>
    <row r="927" s="115" customFormat="1"/>
    <row r="928" s="115" customFormat="1"/>
    <row r="929" s="115" customFormat="1"/>
    <row r="930" s="115" customFormat="1"/>
    <row r="931" s="115" customFormat="1"/>
    <row r="932" s="115" customFormat="1"/>
    <row r="933" s="115" customFormat="1"/>
    <row r="934" s="115" customFormat="1"/>
    <row r="935" s="115" customFormat="1"/>
    <row r="936" s="115" customFormat="1"/>
    <row r="937" s="115" customFormat="1"/>
    <row r="938" s="115" customFormat="1"/>
    <row r="939" s="115" customFormat="1"/>
    <row r="940" s="115" customFormat="1"/>
    <row r="941" s="115" customFormat="1"/>
    <row r="942" s="115" customFormat="1"/>
    <row r="943" s="115" customFormat="1"/>
    <row r="944" s="115" customFormat="1"/>
    <row r="945" s="115" customFormat="1"/>
    <row r="946" s="115" customFormat="1"/>
    <row r="947" s="115" customFormat="1"/>
    <row r="948" s="115" customFormat="1"/>
    <row r="949" s="115" customFormat="1"/>
    <row r="950" s="115" customFormat="1"/>
    <row r="951" s="115" customFormat="1"/>
    <row r="952" s="115" customFormat="1"/>
    <row r="953" s="115" customFormat="1"/>
    <row r="954" s="115" customFormat="1"/>
    <row r="955" s="115" customFormat="1"/>
    <row r="956" s="115" customFormat="1"/>
    <row r="957" s="115" customFormat="1"/>
    <row r="958" s="115" customFormat="1"/>
    <row r="959" s="115" customFormat="1"/>
    <row r="960" s="115" customFormat="1"/>
    <row r="961" s="115" customFormat="1"/>
    <row r="962" s="115" customFormat="1"/>
    <row r="963" s="115" customFormat="1"/>
    <row r="964" s="115" customFormat="1"/>
    <row r="965" s="115" customFormat="1"/>
    <row r="966" s="115" customFormat="1"/>
    <row r="967" s="115" customFormat="1"/>
    <row r="968" s="115" customFormat="1"/>
    <row r="969" s="115" customFormat="1"/>
    <row r="970" s="115" customFormat="1"/>
    <row r="971" s="115" customFormat="1"/>
    <row r="972" s="115" customFormat="1"/>
    <row r="973" s="115" customFormat="1"/>
    <row r="974" s="115" customFormat="1"/>
    <row r="975" s="115" customFormat="1"/>
    <row r="976" s="115" customFormat="1"/>
    <row r="977" s="115" customFormat="1"/>
    <row r="978" s="115" customFormat="1"/>
    <row r="979" s="115" customFormat="1"/>
    <row r="980" s="115" customFormat="1"/>
    <row r="981" s="115" customFormat="1"/>
    <row r="982" s="115" customFormat="1"/>
    <row r="983" s="115" customFormat="1"/>
    <row r="984" s="115" customFormat="1"/>
    <row r="985" s="115" customFormat="1"/>
    <row r="986" s="115" customFormat="1"/>
    <row r="987" s="115" customFormat="1"/>
    <row r="988" s="115" customFormat="1"/>
    <row r="989" s="115" customFormat="1"/>
    <row r="990" s="115" customFormat="1"/>
    <row r="991" s="115" customFormat="1"/>
    <row r="992" s="115" customFormat="1"/>
    <row r="993" s="115" customFormat="1"/>
    <row r="994" s="115" customFormat="1"/>
    <row r="995" s="115" customFormat="1"/>
    <row r="996" s="115" customFormat="1"/>
    <row r="997" s="115" customFormat="1"/>
    <row r="998" s="115" customFormat="1"/>
    <row r="999" s="115" customFormat="1"/>
    <row r="1000" s="115" customFormat="1"/>
  </sheetData>
  <mergeCells count="18">
    <mergeCell ref="C3:C4"/>
    <mergeCell ref="C19:C20"/>
    <mergeCell ref="AA19:AA20"/>
    <mergeCell ref="A49:C49"/>
    <mergeCell ref="A56:C56"/>
    <mergeCell ref="Z3:Z4"/>
    <mergeCell ref="A19:A20"/>
    <mergeCell ref="B19:B20"/>
    <mergeCell ref="D19:D20"/>
    <mergeCell ref="E19:E20"/>
    <mergeCell ref="F19:I19"/>
    <mergeCell ref="Z19:Z20"/>
    <mergeCell ref="A3:A4"/>
    <mergeCell ref="B3:B4"/>
    <mergeCell ref="D3:D4"/>
    <mergeCell ref="E3:E4"/>
    <mergeCell ref="F3:I3"/>
    <mergeCell ref="Y3:Y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C6DD-B9AB-4A46-8CA5-BC6BBFB009BB}">
  <dimension ref="A1:AI1000"/>
  <sheetViews>
    <sheetView topLeftCell="A6" workbookViewId="0">
      <selection activeCell="C19" sqref="C19:C32"/>
    </sheetView>
  </sheetViews>
  <sheetFormatPr defaultColWidth="12.453125" defaultRowHeight="13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4" ht="15.75" customHeight="1">
      <c r="A1" s="107"/>
      <c r="B1" s="108"/>
      <c r="C1" s="109">
        <v>46113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4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4" ht="35.25" customHeight="1" thickBot="1">
      <c r="A3" s="269" t="s">
        <v>1</v>
      </c>
      <c r="B3" s="269" t="s">
        <v>2</v>
      </c>
      <c r="C3" s="280" t="s">
        <v>54</v>
      </c>
      <c r="D3" s="269" t="s">
        <v>3</v>
      </c>
      <c r="E3" s="269" t="s">
        <v>4</v>
      </c>
      <c r="F3" s="271" t="s">
        <v>5</v>
      </c>
      <c r="G3" s="270"/>
      <c r="H3" s="270"/>
      <c r="I3" s="270"/>
      <c r="J3" s="141">
        <f>C1</f>
        <v>46113</v>
      </c>
      <c r="K3" s="141">
        <f t="shared" ref="K3:X3" si="0">J3+1</f>
        <v>46114</v>
      </c>
      <c r="L3" s="141">
        <f t="shared" si="0"/>
        <v>46115</v>
      </c>
      <c r="M3" s="141">
        <f t="shared" si="0"/>
        <v>46116</v>
      </c>
      <c r="N3" s="141">
        <f t="shared" si="0"/>
        <v>46117</v>
      </c>
      <c r="O3" s="141">
        <f t="shared" si="0"/>
        <v>46118</v>
      </c>
      <c r="P3" s="141">
        <f t="shared" si="0"/>
        <v>46119</v>
      </c>
      <c r="Q3" s="141">
        <f t="shared" si="0"/>
        <v>46120</v>
      </c>
      <c r="R3" s="141">
        <f t="shared" si="0"/>
        <v>46121</v>
      </c>
      <c r="S3" s="141">
        <f t="shared" si="0"/>
        <v>46122</v>
      </c>
      <c r="T3" s="141">
        <f t="shared" si="0"/>
        <v>46123</v>
      </c>
      <c r="U3" s="141">
        <f t="shared" si="0"/>
        <v>46124</v>
      </c>
      <c r="V3" s="141">
        <f t="shared" si="0"/>
        <v>46125</v>
      </c>
      <c r="W3" s="141">
        <f t="shared" si="0"/>
        <v>46126</v>
      </c>
      <c r="X3" s="141">
        <f t="shared" si="0"/>
        <v>46127</v>
      </c>
      <c r="Y3" s="269" t="s">
        <v>6</v>
      </c>
      <c r="Z3" s="269" t="s">
        <v>7</v>
      </c>
      <c r="AA3" s="209"/>
      <c r="AB3" s="210"/>
      <c r="AC3" s="114"/>
    </row>
    <row r="4" spans="1:34" ht="27" customHeight="1" thickBot="1">
      <c r="A4" s="270"/>
      <c r="B4" s="270"/>
      <c r="C4" s="270"/>
      <c r="D4" s="270"/>
      <c r="E4" s="270"/>
      <c r="F4" s="219" t="s">
        <v>8</v>
      </c>
      <c r="G4" s="220" t="s">
        <v>9</v>
      </c>
      <c r="H4" s="165" t="s">
        <v>10</v>
      </c>
      <c r="I4" s="165" t="s">
        <v>11</v>
      </c>
      <c r="J4" s="221" t="str">
        <f t="shared" ref="J4:X4" si="1">IF(J3="","",TEXT(WEEKDAY(J3), "ddd"))</f>
        <v>Wed</v>
      </c>
      <c r="K4" s="127" t="str">
        <f t="shared" si="1"/>
        <v>Thu</v>
      </c>
      <c r="L4" s="127" t="str">
        <f t="shared" si="1"/>
        <v>Fri</v>
      </c>
      <c r="M4" s="222" t="str">
        <f t="shared" si="1"/>
        <v>Sat</v>
      </c>
      <c r="N4" s="222" t="str">
        <f t="shared" si="1"/>
        <v>Sun</v>
      </c>
      <c r="O4" s="221" t="str">
        <f t="shared" si="1"/>
        <v>Mon</v>
      </c>
      <c r="P4" s="221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22" t="str">
        <f t="shared" si="1"/>
        <v>Wed</v>
      </c>
      <c r="Y4" s="270"/>
      <c r="Z4" s="270"/>
      <c r="AA4" s="209"/>
      <c r="AB4" s="240" t="s">
        <v>12</v>
      </c>
      <c r="AC4" s="238"/>
      <c r="AD4" s="130"/>
      <c r="AE4" s="130"/>
      <c r="AF4" s="130"/>
      <c r="AG4" s="130"/>
      <c r="AH4" s="130"/>
    </row>
    <row r="5" spans="1:34" ht="12.75" customHeight="1">
      <c r="A5" s="131" t="s">
        <v>40</v>
      </c>
      <c r="B5" s="132" t="s">
        <v>47</v>
      </c>
      <c r="C5" s="281" t="s">
        <v>55</v>
      </c>
      <c r="D5" s="133">
        <v>43437</v>
      </c>
      <c r="E5" s="134">
        <v>88</v>
      </c>
      <c r="F5" s="134">
        <v>88</v>
      </c>
      <c r="G5" s="134">
        <f t="shared" ref="G5:G11" si="2">H5+I5</f>
        <v>80</v>
      </c>
      <c r="H5" s="134">
        <f t="shared" ref="H5:H11" si="3">SUM(J5:X5)</f>
        <v>80</v>
      </c>
      <c r="I5" s="135">
        <v>0</v>
      </c>
      <c r="J5" s="183">
        <v>8</v>
      </c>
      <c r="K5" s="183">
        <v>8</v>
      </c>
      <c r="L5" s="183">
        <v>8</v>
      </c>
      <c r="M5" s="245" t="s">
        <v>39</v>
      </c>
      <c r="N5" s="245" t="s">
        <v>39</v>
      </c>
      <c r="O5" s="183">
        <v>8</v>
      </c>
      <c r="P5" s="183">
        <v>8</v>
      </c>
      <c r="Q5" s="183">
        <v>8</v>
      </c>
      <c r="R5" s="183">
        <v>8</v>
      </c>
      <c r="S5" s="186"/>
      <c r="T5" s="245" t="s">
        <v>39</v>
      </c>
      <c r="U5" s="245" t="s">
        <v>39</v>
      </c>
      <c r="V5" s="183">
        <v>8</v>
      </c>
      <c r="W5" s="183">
        <v>8</v>
      </c>
      <c r="X5" s="183">
        <v>8</v>
      </c>
      <c r="Y5" s="134">
        <v>1</v>
      </c>
      <c r="Z5" s="136">
        <v>11</v>
      </c>
      <c r="AA5" s="209"/>
      <c r="AB5" s="239" t="s">
        <v>15</v>
      </c>
      <c r="AC5" s="130"/>
      <c r="AD5" s="130"/>
      <c r="AE5" s="130"/>
      <c r="AF5" s="130"/>
      <c r="AG5" s="130"/>
      <c r="AH5" s="130"/>
    </row>
    <row r="6" spans="1:34" ht="12.75" customHeight="1">
      <c r="A6" s="131" t="s">
        <v>41</v>
      </c>
      <c r="B6" s="132" t="s">
        <v>47</v>
      </c>
      <c r="C6" s="281" t="s">
        <v>56</v>
      </c>
      <c r="D6" s="133">
        <v>45028</v>
      </c>
      <c r="E6" s="134">
        <v>88</v>
      </c>
      <c r="F6" s="134">
        <v>88</v>
      </c>
      <c r="G6" s="134">
        <f t="shared" si="2"/>
        <v>80</v>
      </c>
      <c r="H6" s="134">
        <f t="shared" si="3"/>
        <v>80</v>
      </c>
      <c r="I6" s="135">
        <v>0</v>
      </c>
      <c r="J6" s="183">
        <v>8</v>
      </c>
      <c r="K6" s="183">
        <v>8</v>
      </c>
      <c r="L6" s="183">
        <v>8</v>
      </c>
      <c r="M6" s="245" t="s">
        <v>39</v>
      </c>
      <c r="N6" s="245" t="s">
        <v>39</v>
      </c>
      <c r="O6" s="183">
        <v>8</v>
      </c>
      <c r="P6" s="186"/>
      <c r="Q6" s="183">
        <v>8</v>
      </c>
      <c r="R6" s="183">
        <v>8</v>
      </c>
      <c r="S6" s="183">
        <v>8</v>
      </c>
      <c r="T6" s="245" t="s">
        <v>39</v>
      </c>
      <c r="U6" s="245" t="s">
        <v>39</v>
      </c>
      <c r="V6" s="183">
        <v>8</v>
      </c>
      <c r="W6" s="183">
        <v>8</v>
      </c>
      <c r="X6" s="183">
        <v>8</v>
      </c>
      <c r="Y6" s="134">
        <v>1</v>
      </c>
      <c r="Z6" s="136">
        <v>11</v>
      </c>
      <c r="AA6" s="209"/>
      <c r="AB6" s="237" t="s">
        <v>6</v>
      </c>
      <c r="AC6" s="130"/>
      <c r="AD6" s="130"/>
      <c r="AE6" s="130"/>
      <c r="AF6" s="130"/>
      <c r="AG6" s="130"/>
      <c r="AH6" s="130"/>
    </row>
    <row r="7" spans="1:34" ht="12.75" customHeight="1">
      <c r="A7" s="131" t="s">
        <v>42</v>
      </c>
      <c r="B7" s="132" t="s">
        <v>47</v>
      </c>
      <c r="C7" s="281" t="s">
        <v>57</v>
      </c>
      <c r="D7" s="133">
        <v>43395</v>
      </c>
      <c r="E7" s="134">
        <v>88</v>
      </c>
      <c r="F7" s="134">
        <v>88</v>
      </c>
      <c r="G7" s="134">
        <f t="shared" si="2"/>
        <v>80</v>
      </c>
      <c r="H7" s="134">
        <f t="shared" si="3"/>
        <v>80</v>
      </c>
      <c r="I7" s="135">
        <v>0</v>
      </c>
      <c r="J7" s="183">
        <v>8</v>
      </c>
      <c r="K7" s="183">
        <v>8</v>
      </c>
      <c r="L7" s="183">
        <v>8</v>
      </c>
      <c r="M7" s="245" t="s">
        <v>39</v>
      </c>
      <c r="N7" s="245" t="s">
        <v>39</v>
      </c>
      <c r="O7" s="183">
        <v>8</v>
      </c>
      <c r="P7" s="186"/>
      <c r="Q7" s="183">
        <v>8</v>
      </c>
      <c r="R7" s="183">
        <v>8</v>
      </c>
      <c r="S7" s="183">
        <v>8</v>
      </c>
      <c r="T7" s="245" t="s">
        <v>39</v>
      </c>
      <c r="U7" s="245" t="s">
        <v>39</v>
      </c>
      <c r="V7" s="183">
        <v>8</v>
      </c>
      <c r="W7" s="183">
        <v>8</v>
      </c>
      <c r="X7" s="183">
        <v>8</v>
      </c>
      <c r="Y7" s="134">
        <v>1</v>
      </c>
      <c r="Z7" s="136">
        <v>11</v>
      </c>
      <c r="AA7" s="209"/>
      <c r="AB7" s="202" t="s">
        <v>18</v>
      </c>
      <c r="AC7" s="130"/>
      <c r="AD7" s="130"/>
      <c r="AE7" s="130"/>
      <c r="AF7" s="130"/>
      <c r="AG7" s="130"/>
      <c r="AH7" s="130"/>
    </row>
    <row r="8" spans="1:34" ht="12.75" customHeight="1">
      <c r="A8" s="131" t="s">
        <v>43</v>
      </c>
      <c r="B8" s="132" t="s">
        <v>47</v>
      </c>
      <c r="C8" s="281" t="s">
        <v>56</v>
      </c>
      <c r="D8" s="138">
        <v>43741</v>
      </c>
      <c r="E8" s="134">
        <v>88</v>
      </c>
      <c r="F8" s="134">
        <v>88</v>
      </c>
      <c r="G8" s="134">
        <f t="shared" si="2"/>
        <v>88</v>
      </c>
      <c r="H8" s="134">
        <f t="shared" si="3"/>
        <v>88</v>
      </c>
      <c r="I8" s="135">
        <v>0</v>
      </c>
      <c r="J8" s="183">
        <v>8</v>
      </c>
      <c r="K8" s="183">
        <v>8</v>
      </c>
      <c r="L8" s="243">
        <v>8</v>
      </c>
      <c r="M8" s="245" t="s">
        <v>39</v>
      </c>
      <c r="N8" s="245" t="s">
        <v>39</v>
      </c>
      <c r="O8" s="243">
        <v>8</v>
      </c>
      <c r="P8" s="183">
        <v>8</v>
      </c>
      <c r="Q8" s="243">
        <v>8</v>
      </c>
      <c r="R8" s="183">
        <v>8</v>
      </c>
      <c r="S8" s="183">
        <v>8</v>
      </c>
      <c r="T8" s="245" t="s">
        <v>39</v>
      </c>
      <c r="U8" s="245" t="s">
        <v>39</v>
      </c>
      <c r="V8" s="183">
        <v>8</v>
      </c>
      <c r="W8" s="243">
        <v>8</v>
      </c>
      <c r="X8" s="183">
        <v>8</v>
      </c>
      <c r="Y8" s="134"/>
      <c r="Z8" s="136">
        <v>11</v>
      </c>
      <c r="AA8" s="209"/>
      <c r="AB8" s="114"/>
      <c r="AC8" s="130"/>
      <c r="AD8" s="130"/>
      <c r="AE8" s="130"/>
      <c r="AF8" s="130"/>
      <c r="AG8" s="130"/>
      <c r="AH8" s="130"/>
    </row>
    <row r="9" spans="1:34" ht="12.75" customHeight="1">
      <c r="A9" s="139" t="s">
        <v>44</v>
      </c>
      <c r="B9" s="132" t="s">
        <v>47</v>
      </c>
      <c r="C9" s="281" t="s">
        <v>58</v>
      </c>
      <c r="D9" s="138">
        <v>43731</v>
      </c>
      <c r="E9" s="134">
        <v>44</v>
      </c>
      <c r="F9" s="134">
        <v>44</v>
      </c>
      <c r="G9" s="134">
        <f t="shared" si="2"/>
        <v>44</v>
      </c>
      <c r="H9" s="134">
        <f t="shared" si="3"/>
        <v>44</v>
      </c>
      <c r="I9" s="135">
        <v>0</v>
      </c>
      <c r="J9" s="241">
        <v>4</v>
      </c>
      <c r="K9" s="241">
        <v>4</v>
      </c>
      <c r="L9" s="183">
        <v>4</v>
      </c>
      <c r="M9" s="245" t="s">
        <v>39</v>
      </c>
      <c r="N9" s="245" t="s">
        <v>39</v>
      </c>
      <c r="O9" s="183">
        <v>4</v>
      </c>
      <c r="P9" s="241">
        <v>4</v>
      </c>
      <c r="Q9" s="183">
        <v>4</v>
      </c>
      <c r="R9" s="183">
        <v>4</v>
      </c>
      <c r="S9" s="183">
        <v>4</v>
      </c>
      <c r="T9" s="245" t="s">
        <v>39</v>
      </c>
      <c r="U9" s="245" t="s">
        <v>39</v>
      </c>
      <c r="V9" s="183">
        <v>4</v>
      </c>
      <c r="W9" s="183">
        <v>4</v>
      </c>
      <c r="X9" s="183">
        <v>4</v>
      </c>
      <c r="Y9" s="134"/>
      <c r="Z9" s="136">
        <v>11</v>
      </c>
      <c r="AA9" s="209"/>
      <c r="AB9" s="114"/>
      <c r="AC9" s="130"/>
      <c r="AD9" s="130"/>
      <c r="AE9" s="130"/>
      <c r="AF9" s="130"/>
      <c r="AG9" s="130"/>
      <c r="AH9" s="130"/>
    </row>
    <row r="10" spans="1:34" ht="12.75" customHeight="1">
      <c r="A10" s="139" t="s">
        <v>45</v>
      </c>
      <c r="B10" s="132" t="s">
        <v>47</v>
      </c>
      <c r="C10" s="281" t="s">
        <v>59</v>
      </c>
      <c r="D10" s="138">
        <v>46120</v>
      </c>
      <c r="E10" s="134">
        <v>88</v>
      </c>
      <c r="F10" s="134">
        <v>88</v>
      </c>
      <c r="G10" s="134">
        <v>64</v>
      </c>
      <c r="H10" s="134">
        <v>64</v>
      </c>
      <c r="I10" s="135">
        <v>0</v>
      </c>
      <c r="J10" s="256"/>
      <c r="K10" s="256"/>
      <c r="L10" s="256"/>
      <c r="M10" s="245" t="s">
        <v>39</v>
      </c>
      <c r="N10" s="245" t="s">
        <v>39</v>
      </c>
      <c r="O10" s="241">
        <v>8</v>
      </c>
      <c r="P10" s="241">
        <v>8</v>
      </c>
      <c r="Q10" s="241">
        <v>8</v>
      </c>
      <c r="R10" s="241">
        <v>8</v>
      </c>
      <c r="S10" s="241">
        <v>8</v>
      </c>
      <c r="T10" s="245" t="s">
        <v>50</v>
      </c>
      <c r="U10" s="245" t="s">
        <v>39</v>
      </c>
      <c r="V10" s="241">
        <v>8</v>
      </c>
      <c r="W10" s="241">
        <v>8</v>
      </c>
      <c r="X10" s="241">
        <v>8</v>
      </c>
      <c r="Y10" s="134">
        <v>3</v>
      </c>
      <c r="Z10" s="136">
        <v>11</v>
      </c>
      <c r="AA10" s="209"/>
      <c r="AB10" s="114"/>
      <c r="AC10" s="130"/>
      <c r="AD10" s="130"/>
      <c r="AE10" s="130"/>
      <c r="AF10" s="130"/>
      <c r="AG10" s="130"/>
      <c r="AH10" s="130"/>
    </row>
    <row r="11" spans="1:34" ht="12.75" customHeight="1">
      <c r="A11" s="139" t="s">
        <v>49</v>
      </c>
      <c r="B11" s="132" t="s">
        <v>47</v>
      </c>
      <c r="C11" s="132" t="s">
        <v>60</v>
      </c>
      <c r="D11" s="138">
        <v>45628</v>
      </c>
      <c r="E11" s="134">
        <v>88</v>
      </c>
      <c r="F11" s="134">
        <v>88</v>
      </c>
      <c r="G11" s="134">
        <f t="shared" si="2"/>
        <v>88</v>
      </c>
      <c r="H11" s="134">
        <f t="shared" si="3"/>
        <v>88</v>
      </c>
      <c r="I11" s="135">
        <v>0</v>
      </c>
      <c r="J11" s="241">
        <v>8</v>
      </c>
      <c r="K11" s="241">
        <v>8</v>
      </c>
      <c r="L11" s="241">
        <v>8</v>
      </c>
      <c r="M11" s="245" t="s">
        <v>39</v>
      </c>
      <c r="N11" s="245" t="s">
        <v>39</v>
      </c>
      <c r="O11" s="241">
        <v>8</v>
      </c>
      <c r="P11" s="241">
        <v>8</v>
      </c>
      <c r="Q11" s="241">
        <v>8</v>
      </c>
      <c r="R11" s="241">
        <v>8</v>
      </c>
      <c r="S11" s="241">
        <v>8</v>
      </c>
      <c r="T11" s="245" t="s">
        <v>39</v>
      </c>
      <c r="U11" s="245" t="s">
        <v>39</v>
      </c>
      <c r="V11" s="241">
        <v>8</v>
      </c>
      <c r="W11" s="241">
        <v>8</v>
      </c>
      <c r="X11" s="241">
        <v>8</v>
      </c>
      <c r="Y11" s="134"/>
      <c r="Z11" s="136">
        <v>11</v>
      </c>
      <c r="AA11" s="209"/>
      <c r="AB11" s="114"/>
      <c r="AC11" s="130"/>
      <c r="AD11" s="130"/>
      <c r="AE11" s="130"/>
      <c r="AF11" s="130"/>
      <c r="AG11" s="130"/>
      <c r="AH11" s="130"/>
    </row>
    <row r="12" spans="1:34" ht="12.75" hidden="1" customHeight="1">
      <c r="A12" s="140"/>
      <c r="B12" s="132" t="s">
        <v>47</v>
      </c>
      <c r="C12" s="132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34">
        <f t="shared" ref="Y12:Y15" si="4">Z12-COUNTA(J12:X12)</f>
        <v>11</v>
      </c>
      <c r="Z12" s="136">
        <v>11</v>
      </c>
      <c r="AA12" s="209"/>
      <c r="AB12" s="114"/>
      <c r="AC12" s="130"/>
      <c r="AD12" s="130"/>
      <c r="AE12" s="130"/>
      <c r="AF12" s="130"/>
      <c r="AG12" s="130"/>
      <c r="AH12" s="130"/>
    </row>
    <row r="13" spans="1:34" ht="12.75" hidden="1" customHeight="1">
      <c r="A13" s="140"/>
      <c r="B13" s="132" t="s">
        <v>47</v>
      </c>
      <c r="C13" s="132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34">
        <f t="shared" si="4"/>
        <v>11</v>
      </c>
      <c r="Z13" s="136">
        <v>11</v>
      </c>
      <c r="AA13" s="209"/>
      <c r="AB13" s="114"/>
      <c r="AC13" s="130"/>
      <c r="AD13" s="130"/>
      <c r="AE13" s="130"/>
      <c r="AF13" s="130"/>
      <c r="AG13" s="130"/>
      <c r="AH13" s="130"/>
    </row>
    <row r="14" spans="1:34" ht="12.75" hidden="1" customHeight="1">
      <c r="A14" s="140"/>
      <c r="B14" s="132" t="s">
        <v>47</v>
      </c>
      <c r="C14" s="132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34">
        <f t="shared" si="4"/>
        <v>11</v>
      </c>
      <c r="Z14" s="136">
        <v>11</v>
      </c>
      <c r="AA14" s="209"/>
      <c r="AB14" s="114"/>
      <c r="AC14" s="130"/>
      <c r="AD14" s="130"/>
      <c r="AE14" s="130"/>
      <c r="AF14" s="130"/>
      <c r="AG14" s="130"/>
      <c r="AH14" s="130"/>
    </row>
    <row r="15" spans="1:34" ht="12.75" hidden="1" customHeight="1">
      <c r="A15" s="139" t="s">
        <v>49</v>
      </c>
      <c r="B15" s="132" t="s">
        <v>47</v>
      </c>
      <c r="C15" s="132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34">
        <f t="shared" si="4"/>
        <v>11</v>
      </c>
      <c r="Z15" s="136">
        <v>11</v>
      </c>
      <c r="AA15" s="209"/>
      <c r="AB15" s="114"/>
      <c r="AC15" s="130"/>
      <c r="AD15" s="130"/>
      <c r="AE15" s="130"/>
      <c r="AF15" s="130"/>
      <c r="AG15" s="130"/>
      <c r="AH15" s="130"/>
    </row>
    <row r="16" spans="1:34" ht="12.75" customHeight="1">
      <c r="A16" s="223"/>
      <c r="B16" s="223"/>
      <c r="C16" s="223"/>
      <c r="D16" s="223"/>
      <c r="E16" s="224">
        <f t="shared" ref="E16:X16" si="5">SUM(E5:E15)</f>
        <v>572</v>
      </c>
      <c r="F16" s="224">
        <f t="shared" si="5"/>
        <v>572</v>
      </c>
      <c r="G16" s="224">
        <f t="shared" si="5"/>
        <v>524</v>
      </c>
      <c r="H16" s="224">
        <f t="shared" si="5"/>
        <v>524</v>
      </c>
      <c r="I16" s="224">
        <f t="shared" si="5"/>
        <v>0</v>
      </c>
      <c r="J16" s="224">
        <f t="shared" si="5"/>
        <v>44</v>
      </c>
      <c r="K16" s="224">
        <f t="shared" si="5"/>
        <v>44</v>
      </c>
      <c r="L16" s="224">
        <f t="shared" si="5"/>
        <v>44</v>
      </c>
      <c r="M16" s="224">
        <f t="shared" si="5"/>
        <v>0</v>
      </c>
      <c r="N16" s="224">
        <f t="shared" si="5"/>
        <v>0</v>
      </c>
      <c r="O16" s="224">
        <f t="shared" si="5"/>
        <v>52</v>
      </c>
      <c r="P16" s="224">
        <f t="shared" si="5"/>
        <v>36</v>
      </c>
      <c r="Q16" s="224">
        <f t="shared" si="5"/>
        <v>52</v>
      </c>
      <c r="R16" s="224">
        <f t="shared" si="5"/>
        <v>52</v>
      </c>
      <c r="S16" s="224">
        <f t="shared" si="5"/>
        <v>44</v>
      </c>
      <c r="T16" s="224">
        <f t="shared" si="5"/>
        <v>0</v>
      </c>
      <c r="U16" s="224">
        <f t="shared" si="5"/>
        <v>0</v>
      </c>
      <c r="V16" s="224">
        <f t="shared" si="5"/>
        <v>52</v>
      </c>
      <c r="W16" s="224">
        <f t="shared" si="5"/>
        <v>52</v>
      </c>
      <c r="X16" s="224">
        <f t="shared" si="5"/>
        <v>52</v>
      </c>
      <c r="Y16" s="224"/>
      <c r="Z16" s="224"/>
      <c r="AA16" s="209"/>
      <c r="AB16" s="114"/>
      <c r="AC16" s="130"/>
      <c r="AD16" s="130"/>
      <c r="AE16" s="130"/>
      <c r="AF16" s="130"/>
      <c r="AG16" s="130"/>
      <c r="AH16" s="130"/>
    </row>
    <row r="17" spans="1:35" ht="15" customHeight="1">
      <c r="A17" s="209"/>
      <c r="B17" s="209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120"/>
      <c r="AA17" s="114"/>
      <c r="AB17" s="114"/>
      <c r="AC17" s="114"/>
      <c r="AD17" s="130"/>
      <c r="AE17" s="130"/>
      <c r="AF17" s="130"/>
      <c r="AG17" s="130"/>
      <c r="AH17" s="130"/>
      <c r="AI17" s="130"/>
    </row>
    <row r="18" spans="1:35" ht="15" customHeight="1">
      <c r="A18" s="225" t="s">
        <v>22</v>
      </c>
      <c r="B18" s="226"/>
      <c r="C18" s="226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114"/>
      <c r="AB18" s="120"/>
      <c r="AC18" s="114"/>
    </row>
    <row r="19" spans="1:35" ht="35.25" customHeight="1">
      <c r="A19" s="269" t="s">
        <v>1</v>
      </c>
      <c r="B19" s="269" t="s">
        <v>2</v>
      </c>
      <c r="C19" s="280" t="s">
        <v>54</v>
      </c>
      <c r="D19" s="269" t="s">
        <v>3</v>
      </c>
      <c r="E19" s="269" t="s">
        <v>4</v>
      </c>
      <c r="F19" s="271" t="s">
        <v>5</v>
      </c>
      <c r="G19" s="270"/>
      <c r="H19" s="270"/>
      <c r="I19" s="270"/>
      <c r="J19" s="141">
        <f>X3+1</f>
        <v>46128</v>
      </c>
      <c r="K19" s="141">
        <f t="shared" ref="K19:X19" si="6">J19+1</f>
        <v>46129</v>
      </c>
      <c r="L19" s="141">
        <f t="shared" si="6"/>
        <v>46130</v>
      </c>
      <c r="M19" s="141">
        <f t="shared" si="6"/>
        <v>46131</v>
      </c>
      <c r="N19" s="141">
        <f t="shared" si="6"/>
        <v>46132</v>
      </c>
      <c r="O19" s="141">
        <f t="shared" si="6"/>
        <v>46133</v>
      </c>
      <c r="P19" s="141">
        <f t="shared" si="6"/>
        <v>46134</v>
      </c>
      <c r="Q19" s="141">
        <f t="shared" si="6"/>
        <v>46135</v>
      </c>
      <c r="R19" s="141">
        <f t="shared" si="6"/>
        <v>46136</v>
      </c>
      <c r="S19" s="141">
        <f t="shared" si="6"/>
        <v>46137</v>
      </c>
      <c r="T19" s="141">
        <f t="shared" si="6"/>
        <v>46138</v>
      </c>
      <c r="U19" s="141">
        <f t="shared" si="6"/>
        <v>46139</v>
      </c>
      <c r="V19" s="141">
        <f t="shared" si="6"/>
        <v>46140</v>
      </c>
      <c r="W19" s="141">
        <f t="shared" si="6"/>
        <v>46141</v>
      </c>
      <c r="X19" s="141">
        <f t="shared" si="6"/>
        <v>46142</v>
      </c>
      <c r="Y19" s="141"/>
      <c r="Z19" s="269" t="s">
        <v>6</v>
      </c>
      <c r="AA19" s="269" t="s">
        <v>7</v>
      </c>
      <c r="AB19" s="209"/>
      <c r="AC19" s="114"/>
    </row>
    <row r="20" spans="1:35" ht="26.25" customHeight="1">
      <c r="A20" s="270"/>
      <c r="B20" s="270"/>
      <c r="C20" s="270"/>
      <c r="D20" s="270"/>
      <c r="E20" s="270"/>
      <c r="F20" s="219" t="s">
        <v>8</v>
      </c>
      <c r="G20" s="220" t="s">
        <v>9</v>
      </c>
      <c r="H20" s="165" t="s">
        <v>10</v>
      </c>
      <c r="I20" s="165" t="s">
        <v>11</v>
      </c>
      <c r="J20" s="222" t="str">
        <f t="shared" ref="J20:X20" si="7">IF(J19="","",TEXT(WEEKDAY(J19), "ddd"))</f>
        <v>Thu</v>
      </c>
      <c r="K20" s="222" t="str">
        <f t="shared" si="7"/>
        <v>Fri</v>
      </c>
      <c r="L20" s="222" t="str">
        <f t="shared" si="7"/>
        <v>Sat</v>
      </c>
      <c r="M20" s="222" t="str">
        <f t="shared" si="7"/>
        <v>Sun</v>
      </c>
      <c r="N20" s="222" t="str">
        <f t="shared" si="7"/>
        <v>Mon</v>
      </c>
      <c r="O20" s="222" t="str">
        <f t="shared" si="7"/>
        <v>Tue</v>
      </c>
      <c r="P20" s="222" t="str">
        <f t="shared" si="7"/>
        <v>Wed</v>
      </c>
      <c r="Q20" s="127" t="str">
        <f t="shared" si="7"/>
        <v>Thu</v>
      </c>
      <c r="R20" s="127" t="str">
        <f t="shared" si="7"/>
        <v>Fri</v>
      </c>
      <c r="S20" s="222" t="str">
        <f t="shared" si="7"/>
        <v>Sat</v>
      </c>
      <c r="T20" s="222" t="str">
        <f t="shared" si="7"/>
        <v>Sun</v>
      </c>
      <c r="U20" s="222" t="str">
        <f t="shared" si="7"/>
        <v>Mon</v>
      </c>
      <c r="V20" s="222" t="str">
        <f t="shared" si="7"/>
        <v>Tue</v>
      </c>
      <c r="W20" s="222" t="str">
        <f t="shared" si="7"/>
        <v>Wed</v>
      </c>
      <c r="X20" s="222" t="str">
        <f t="shared" si="7"/>
        <v>Thu</v>
      </c>
      <c r="Y20" s="222"/>
      <c r="Z20" s="270"/>
      <c r="AA20" s="270"/>
      <c r="AB20" s="209"/>
      <c r="AC20" s="114"/>
    </row>
    <row r="21" spans="1:35" ht="12.75" customHeight="1">
      <c r="A21" s="131" t="s">
        <v>40</v>
      </c>
      <c r="B21" s="132" t="s">
        <v>47</v>
      </c>
      <c r="C21" s="281" t="s">
        <v>55</v>
      </c>
      <c r="D21" s="133">
        <v>43437</v>
      </c>
      <c r="E21" s="134">
        <v>80</v>
      </c>
      <c r="F21" s="134">
        <v>80</v>
      </c>
      <c r="G21" s="134">
        <f t="shared" ref="G21:G27" si="8">H21+I21</f>
        <v>80</v>
      </c>
      <c r="H21" s="134">
        <f t="shared" ref="H21:H27" si="9">SUM(J21:Y21)</f>
        <v>80</v>
      </c>
      <c r="I21" s="135">
        <v>0</v>
      </c>
      <c r="J21" s="180">
        <v>8</v>
      </c>
      <c r="K21" s="183">
        <v>8</v>
      </c>
      <c r="L21" s="255" t="s">
        <v>39</v>
      </c>
      <c r="M21" s="255" t="s">
        <v>39</v>
      </c>
      <c r="N21" s="258" t="s">
        <v>48</v>
      </c>
      <c r="O21" s="180">
        <v>8</v>
      </c>
      <c r="P21" s="183">
        <v>8</v>
      </c>
      <c r="Q21" s="180">
        <v>8</v>
      </c>
      <c r="R21" s="183">
        <v>8</v>
      </c>
      <c r="S21" s="255"/>
      <c r="T21" s="255"/>
      <c r="U21" s="180">
        <v>8</v>
      </c>
      <c r="V21" s="180">
        <v>8</v>
      </c>
      <c r="W21" s="183">
        <v>8</v>
      </c>
      <c r="X21" s="183">
        <v>8</v>
      </c>
      <c r="Y21" s="180"/>
      <c r="Z21" s="134"/>
      <c r="AA21" s="136">
        <v>10</v>
      </c>
      <c r="AB21" s="209"/>
      <c r="AC21" s="114"/>
    </row>
    <row r="22" spans="1:35" ht="12.75" customHeight="1">
      <c r="A22" s="131" t="s">
        <v>41</v>
      </c>
      <c r="B22" s="132" t="s">
        <v>47</v>
      </c>
      <c r="C22" s="281" t="s">
        <v>56</v>
      </c>
      <c r="D22" s="133">
        <v>45028</v>
      </c>
      <c r="E22" s="134">
        <v>80</v>
      </c>
      <c r="F22" s="134">
        <v>80</v>
      </c>
      <c r="G22" s="134">
        <f t="shared" si="8"/>
        <v>72</v>
      </c>
      <c r="H22" s="134">
        <f t="shared" si="9"/>
        <v>72</v>
      </c>
      <c r="I22" s="135">
        <v>0</v>
      </c>
      <c r="J22" s="180">
        <v>8</v>
      </c>
      <c r="K22" s="180">
        <v>8</v>
      </c>
      <c r="L22" s="255" t="s">
        <v>39</v>
      </c>
      <c r="M22" s="255" t="s">
        <v>39</v>
      </c>
      <c r="N22" s="258" t="s">
        <v>48</v>
      </c>
      <c r="O22" s="180">
        <v>8</v>
      </c>
      <c r="P22" s="180">
        <v>8</v>
      </c>
      <c r="Q22" s="186"/>
      <c r="R22" s="180">
        <v>8</v>
      </c>
      <c r="S22" s="255"/>
      <c r="T22" s="245"/>
      <c r="U22" s="180">
        <v>8</v>
      </c>
      <c r="V22" s="180">
        <v>8</v>
      </c>
      <c r="W22" s="180">
        <v>8</v>
      </c>
      <c r="X22" s="180">
        <v>8</v>
      </c>
      <c r="Y22" s="180"/>
      <c r="Z22" s="134">
        <v>1</v>
      </c>
      <c r="AA22" s="136">
        <v>10</v>
      </c>
      <c r="AB22" s="209"/>
      <c r="AC22" s="114"/>
    </row>
    <row r="23" spans="1:35" ht="12.75" customHeight="1">
      <c r="A23" s="131" t="s">
        <v>42</v>
      </c>
      <c r="B23" s="132" t="s">
        <v>47</v>
      </c>
      <c r="C23" s="281" t="s">
        <v>57</v>
      </c>
      <c r="D23" s="133">
        <v>43395</v>
      </c>
      <c r="E23" s="134">
        <v>80</v>
      </c>
      <c r="F23" s="134">
        <v>80</v>
      </c>
      <c r="G23" s="134">
        <f t="shared" si="8"/>
        <v>80</v>
      </c>
      <c r="H23" s="134">
        <f t="shared" si="9"/>
        <v>80</v>
      </c>
      <c r="I23" s="135">
        <v>0</v>
      </c>
      <c r="J23" s="180">
        <v>8</v>
      </c>
      <c r="K23" s="180">
        <v>8</v>
      </c>
      <c r="L23" s="255" t="s">
        <v>39</v>
      </c>
      <c r="M23" s="255" t="s">
        <v>39</v>
      </c>
      <c r="N23" s="258" t="s">
        <v>48</v>
      </c>
      <c r="O23" s="180">
        <v>8</v>
      </c>
      <c r="P23" s="180">
        <v>8</v>
      </c>
      <c r="Q23" s="180">
        <v>8</v>
      </c>
      <c r="R23" s="180">
        <v>8</v>
      </c>
      <c r="S23" s="255"/>
      <c r="T23" s="255"/>
      <c r="U23" s="180">
        <v>8</v>
      </c>
      <c r="V23" s="180">
        <v>8</v>
      </c>
      <c r="W23" s="180">
        <v>8</v>
      </c>
      <c r="X23" s="180">
        <v>8</v>
      </c>
      <c r="Y23" s="180"/>
      <c r="Z23" s="134"/>
      <c r="AA23" s="136">
        <v>10</v>
      </c>
      <c r="AB23" s="209"/>
      <c r="AC23" s="114"/>
    </row>
    <row r="24" spans="1:35" ht="12.75" customHeight="1">
      <c r="A24" s="131" t="s">
        <v>43</v>
      </c>
      <c r="B24" s="132" t="s">
        <v>47</v>
      </c>
      <c r="C24" s="281" t="s">
        <v>56</v>
      </c>
      <c r="D24" s="138">
        <v>43741</v>
      </c>
      <c r="E24" s="134">
        <v>80</v>
      </c>
      <c r="F24" s="134">
        <v>80</v>
      </c>
      <c r="G24" s="134">
        <f t="shared" si="8"/>
        <v>72</v>
      </c>
      <c r="H24" s="134">
        <f t="shared" si="9"/>
        <v>72</v>
      </c>
      <c r="I24" s="135">
        <v>0</v>
      </c>
      <c r="J24" s="180">
        <v>8</v>
      </c>
      <c r="K24" s="180">
        <v>8</v>
      </c>
      <c r="L24" s="255" t="s">
        <v>39</v>
      </c>
      <c r="M24" s="255" t="s">
        <v>39</v>
      </c>
      <c r="N24" s="258" t="s">
        <v>48</v>
      </c>
      <c r="O24" s="180">
        <v>8</v>
      </c>
      <c r="P24" s="180">
        <v>8</v>
      </c>
      <c r="Q24" s="183">
        <v>8</v>
      </c>
      <c r="R24" s="180">
        <v>8</v>
      </c>
      <c r="S24" s="255"/>
      <c r="T24" s="245"/>
      <c r="U24" s="186"/>
      <c r="V24" s="180">
        <v>8</v>
      </c>
      <c r="W24" s="180">
        <v>8</v>
      </c>
      <c r="X24" s="183">
        <v>8</v>
      </c>
      <c r="Y24" s="180"/>
      <c r="Z24" s="134">
        <v>1</v>
      </c>
      <c r="AA24" s="136">
        <v>10</v>
      </c>
      <c r="AB24" s="209"/>
      <c r="AC24" s="114"/>
    </row>
    <row r="25" spans="1:35" ht="12.75" customHeight="1">
      <c r="A25" s="139" t="s">
        <v>44</v>
      </c>
      <c r="B25" s="132" t="s">
        <v>47</v>
      </c>
      <c r="C25" s="281" t="s">
        <v>58</v>
      </c>
      <c r="D25" s="138">
        <v>43731</v>
      </c>
      <c r="E25" s="134">
        <v>40</v>
      </c>
      <c r="F25" s="134">
        <v>40</v>
      </c>
      <c r="G25" s="134">
        <f t="shared" si="8"/>
        <v>40</v>
      </c>
      <c r="H25" s="134">
        <f t="shared" si="9"/>
        <v>40</v>
      </c>
      <c r="I25" s="135">
        <v>0</v>
      </c>
      <c r="J25" s="180">
        <v>4</v>
      </c>
      <c r="K25" s="180">
        <v>4</v>
      </c>
      <c r="L25" s="255" t="s">
        <v>39</v>
      </c>
      <c r="M25" s="255" t="s">
        <v>39</v>
      </c>
      <c r="N25" s="258" t="s">
        <v>48</v>
      </c>
      <c r="O25" s="207">
        <v>4</v>
      </c>
      <c r="P25" s="207">
        <v>4</v>
      </c>
      <c r="Q25" s="140">
        <v>4</v>
      </c>
      <c r="R25" s="207">
        <v>4</v>
      </c>
      <c r="S25" s="255"/>
      <c r="T25" s="245"/>
      <c r="U25" s="207">
        <v>4</v>
      </c>
      <c r="V25" s="207">
        <v>4</v>
      </c>
      <c r="W25" s="207">
        <v>4</v>
      </c>
      <c r="X25" s="207">
        <v>4</v>
      </c>
      <c r="Y25" s="180"/>
      <c r="Z25" s="134"/>
      <c r="AA25" s="136">
        <v>10</v>
      </c>
      <c r="AB25" s="209"/>
      <c r="AC25" s="114"/>
    </row>
    <row r="26" spans="1:35" ht="12.75" customHeight="1">
      <c r="A26" s="139" t="s">
        <v>45</v>
      </c>
      <c r="B26" s="132" t="s">
        <v>47</v>
      </c>
      <c r="C26" s="281" t="s">
        <v>59</v>
      </c>
      <c r="D26" s="138">
        <v>46120</v>
      </c>
      <c r="E26" s="134">
        <v>80</v>
      </c>
      <c r="F26" s="134">
        <v>80</v>
      </c>
      <c r="G26" s="134">
        <v>88</v>
      </c>
      <c r="H26" s="134">
        <v>88</v>
      </c>
      <c r="I26" s="135">
        <v>0</v>
      </c>
      <c r="J26" s="181">
        <v>8</v>
      </c>
      <c r="K26" s="181">
        <v>8</v>
      </c>
      <c r="L26" s="255" t="s">
        <v>39</v>
      </c>
      <c r="M26" s="255" t="s">
        <v>39</v>
      </c>
      <c r="N26" s="258" t="s">
        <v>48</v>
      </c>
      <c r="O26" s="208">
        <v>8</v>
      </c>
      <c r="P26" s="208">
        <v>8</v>
      </c>
      <c r="Q26" s="257">
        <v>8</v>
      </c>
      <c r="R26" s="208">
        <v>8</v>
      </c>
      <c r="S26" s="255"/>
      <c r="T26" s="245"/>
      <c r="U26" s="208">
        <v>8</v>
      </c>
      <c r="V26" s="208">
        <v>8</v>
      </c>
      <c r="W26" s="208">
        <v>8</v>
      </c>
      <c r="X26" s="208">
        <v>8</v>
      </c>
      <c r="Y26" s="181"/>
      <c r="Z26" s="134"/>
      <c r="AA26" s="136">
        <v>10</v>
      </c>
      <c r="AB26" s="209"/>
      <c r="AC26" s="114"/>
    </row>
    <row r="27" spans="1:35" ht="12.75" customHeight="1">
      <c r="A27" s="139" t="s">
        <v>49</v>
      </c>
      <c r="B27" s="132" t="s">
        <v>47</v>
      </c>
      <c r="C27" s="132" t="s">
        <v>60</v>
      </c>
      <c r="D27" s="138">
        <v>45628</v>
      </c>
      <c r="E27" s="134">
        <v>80</v>
      </c>
      <c r="F27" s="134">
        <v>80</v>
      </c>
      <c r="G27" s="134">
        <f t="shared" si="8"/>
        <v>80</v>
      </c>
      <c r="H27" s="134">
        <f t="shared" si="9"/>
        <v>80</v>
      </c>
      <c r="I27" s="135">
        <v>0</v>
      </c>
      <c r="J27" s="241">
        <v>8</v>
      </c>
      <c r="K27" s="241">
        <v>8</v>
      </c>
      <c r="L27" s="255" t="s">
        <v>39</v>
      </c>
      <c r="M27" s="255" t="s">
        <v>39</v>
      </c>
      <c r="N27" s="258" t="s">
        <v>48</v>
      </c>
      <c r="O27" s="241">
        <v>8</v>
      </c>
      <c r="P27" s="241">
        <v>8</v>
      </c>
      <c r="Q27" s="241">
        <v>8</v>
      </c>
      <c r="R27" s="241">
        <v>8</v>
      </c>
      <c r="S27" s="245"/>
      <c r="T27" s="245"/>
      <c r="U27" s="241">
        <v>8</v>
      </c>
      <c r="V27" s="241">
        <v>8</v>
      </c>
      <c r="W27" s="241">
        <v>8</v>
      </c>
      <c r="X27" s="241">
        <v>8</v>
      </c>
      <c r="Y27" s="241"/>
      <c r="Z27" s="134">
        <v>1</v>
      </c>
      <c r="AA27" s="136">
        <v>10</v>
      </c>
      <c r="AB27" s="209"/>
      <c r="AC27" s="114"/>
    </row>
    <row r="28" spans="1:35" ht="12.75" hidden="1" customHeight="1">
      <c r="A28" s="140"/>
      <c r="B28" s="132" t="s">
        <v>47</v>
      </c>
      <c r="C28" s="132"/>
      <c r="D28" s="140"/>
      <c r="E28" s="140"/>
      <c r="F28" s="140"/>
      <c r="G28" s="140"/>
      <c r="H28" s="140"/>
      <c r="I28" s="140"/>
      <c r="J28" s="140"/>
      <c r="K28" s="140"/>
      <c r="L28" s="140"/>
      <c r="M28" s="255" t="s">
        <v>39</v>
      </c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34"/>
      <c r="AA28" s="135"/>
      <c r="AB28" s="209"/>
      <c r="AC28" s="114"/>
    </row>
    <row r="29" spans="1:35" ht="12.75" hidden="1" customHeight="1">
      <c r="A29" s="140"/>
      <c r="B29" s="132" t="s">
        <v>47</v>
      </c>
      <c r="C29" s="132"/>
      <c r="D29" s="140"/>
      <c r="E29" s="140"/>
      <c r="F29" s="140"/>
      <c r="G29" s="140"/>
      <c r="H29" s="140"/>
      <c r="I29" s="140"/>
      <c r="J29" s="140"/>
      <c r="K29" s="140"/>
      <c r="L29" s="140"/>
      <c r="M29" s="255" t="s">
        <v>39</v>
      </c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34"/>
      <c r="AA29" s="135"/>
      <c r="AB29" s="209"/>
      <c r="AC29" s="114"/>
    </row>
    <row r="30" spans="1:35" ht="12.75" hidden="1" customHeight="1">
      <c r="A30" s="140"/>
      <c r="B30" s="132" t="s">
        <v>47</v>
      </c>
      <c r="C30" s="132"/>
      <c r="D30" s="140"/>
      <c r="E30" s="140"/>
      <c r="F30" s="140"/>
      <c r="G30" s="140"/>
      <c r="H30" s="140"/>
      <c r="I30" s="140"/>
      <c r="J30" s="140"/>
      <c r="K30" s="140"/>
      <c r="L30" s="140"/>
      <c r="M30" s="255" t="s">
        <v>39</v>
      </c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34"/>
      <c r="AA30" s="135"/>
      <c r="AB30" s="209"/>
      <c r="AC30" s="114"/>
    </row>
    <row r="31" spans="1:35" ht="12.75" hidden="1" customHeight="1">
      <c r="A31" s="139" t="s">
        <v>49</v>
      </c>
      <c r="B31" s="132" t="s">
        <v>47</v>
      </c>
      <c r="C31" s="132"/>
      <c r="D31" s="140"/>
      <c r="E31" s="140"/>
      <c r="F31" s="140"/>
      <c r="G31" s="140"/>
      <c r="H31" s="140"/>
      <c r="I31" s="140"/>
      <c r="J31" s="140"/>
      <c r="K31" s="140"/>
      <c r="L31" s="140"/>
      <c r="M31" s="255" t="s">
        <v>39</v>
      </c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34"/>
      <c r="AA31" s="135"/>
      <c r="AB31" s="209"/>
      <c r="AC31" s="114"/>
    </row>
    <row r="32" spans="1:35" ht="12.75" customHeight="1">
      <c r="A32" s="228"/>
      <c r="B32" s="228"/>
      <c r="C32" s="223"/>
      <c r="D32" s="229"/>
      <c r="E32" s="224">
        <f t="shared" ref="E32:V32" si="10">SUM(E21:E31)</f>
        <v>520</v>
      </c>
      <c r="F32" s="224">
        <f t="shared" si="10"/>
        <v>520</v>
      </c>
      <c r="G32" s="224">
        <f t="shared" si="10"/>
        <v>512</v>
      </c>
      <c r="H32" s="224">
        <f t="shared" si="10"/>
        <v>512</v>
      </c>
      <c r="I32" s="224">
        <f t="shared" si="10"/>
        <v>0</v>
      </c>
      <c r="J32" s="224">
        <f t="shared" si="10"/>
        <v>52</v>
      </c>
      <c r="K32" s="224">
        <f t="shared" si="10"/>
        <v>52</v>
      </c>
      <c r="L32" s="224">
        <f t="shared" si="10"/>
        <v>0</v>
      </c>
      <c r="M32" s="224">
        <f t="shared" si="10"/>
        <v>0</v>
      </c>
      <c r="N32" s="224">
        <f t="shared" si="10"/>
        <v>0</v>
      </c>
      <c r="O32" s="224">
        <f t="shared" si="10"/>
        <v>52</v>
      </c>
      <c r="P32" s="224">
        <f t="shared" si="10"/>
        <v>52</v>
      </c>
      <c r="Q32" s="224">
        <f t="shared" si="10"/>
        <v>44</v>
      </c>
      <c r="R32" s="224">
        <f t="shared" si="10"/>
        <v>52</v>
      </c>
      <c r="S32" s="224">
        <f t="shared" si="10"/>
        <v>0</v>
      </c>
      <c r="T32" s="224">
        <f t="shared" si="10"/>
        <v>0</v>
      </c>
      <c r="U32" s="224">
        <f t="shared" si="10"/>
        <v>44</v>
      </c>
      <c r="V32" s="224">
        <f t="shared" si="10"/>
        <v>52</v>
      </c>
      <c r="W32" s="224"/>
      <c r="X32" s="224"/>
      <c r="Y32" s="224"/>
      <c r="Z32" s="224"/>
      <c r="AA32" s="224"/>
      <c r="AB32" s="210"/>
      <c r="AC32" s="114"/>
    </row>
    <row r="33" spans="1:29" ht="12.75" customHeight="1">
      <c r="A33" s="230"/>
      <c r="B33" s="230"/>
      <c r="C33" s="231"/>
      <c r="D33" s="232"/>
      <c r="E33" s="233"/>
      <c r="F33" s="233"/>
      <c r="G33" s="233"/>
      <c r="H33" s="227"/>
      <c r="I33" s="234"/>
      <c r="J33" s="234"/>
      <c r="K33" s="234"/>
      <c r="L33" s="234"/>
      <c r="M33" s="234"/>
      <c r="N33" s="234"/>
      <c r="O33" s="210"/>
      <c r="P33" s="210"/>
      <c r="Q33" s="234"/>
      <c r="R33" s="234"/>
      <c r="S33" s="234"/>
      <c r="T33" s="234"/>
      <c r="U33" s="234"/>
      <c r="V33" s="234"/>
      <c r="W33" s="234"/>
      <c r="X33" s="234"/>
      <c r="Y33" s="210"/>
      <c r="Z33" s="210"/>
      <c r="AA33" s="114"/>
      <c r="AB33" s="114"/>
      <c r="AC33" s="114"/>
    </row>
    <row r="34" spans="1:29" ht="12.75" customHeight="1" thickBot="1">
      <c r="A34" s="209"/>
      <c r="B34" s="209"/>
      <c r="C34" s="209"/>
      <c r="D34" s="209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48"/>
      <c r="AB34" s="120"/>
      <c r="AC34" s="114"/>
    </row>
    <row r="35" spans="1:29" ht="57.75" customHeight="1">
      <c r="A35" s="149" t="s">
        <v>1</v>
      </c>
      <c r="B35" s="150" t="s">
        <v>23</v>
      </c>
      <c r="C35" s="150" t="s">
        <v>24</v>
      </c>
      <c r="D35" s="246" t="s">
        <v>25</v>
      </c>
      <c r="E35" s="246" t="s">
        <v>38</v>
      </c>
      <c r="F35" s="120"/>
      <c r="G35" s="120"/>
      <c r="H35" s="120"/>
      <c r="I35" s="120"/>
      <c r="J35" s="120"/>
      <c r="K35" s="118"/>
      <c r="L35" s="118"/>
      <c r="M35" s="118"/>
      <c r="N35" s="118"/>
      <c r="O35" s="118"/>
      <c r="P35" s="118"/>
      <c r="Q35" s="120"/>
      <c r="R35" s="120"/>
      <c r="S35" s="120"/>
      <c r="T35" s="120"/>
      <c r="U35" s="120"/>
      <c r="V35" s="120"/>
      <c r="W35" s="120"/>
      <c r="X35" s="120"/>
      <c r="Y35" s="120"/>
      <c r="Z35" s="148"/>
      <c r="AA35" s="120"/>
      <c r="AB35" s="114"/>
    </row>
    <row r="36" spans="1:29" ht="13.5" customHeight="1">
      <c r="A36" s="131" t="s">
        <v>40</v>
      </c>
      <c r="B36" s="153">
        <f>G5+G21</f>
        <v>160</v>
      </c>
      <c r="C36" s="154">
        <f>F5+F21</f>
        <v>168</v>
      </c>
      <c r="D36" s="247">
        <f t="shared" ref="D36:D42" si="11">B36</f>
        <v>160</v>
      </c>
      <c r="E36" s="250">
        <v>33</v>
      </c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</row>
    <row r="37" spans="1:29" ht="13.5" customHeight="1">
      <c r="A37" s="131" t="s">
        <v>41</v>
      </c>
      <c r="B37" s="153">
        <f>G6+G22</f>
        <v>152</v>
      </c>
      <c r="C37" s="154">
        <f>F6+F22</f>
        <v>168</v>
      </c>
      <c r="D37" s="247">
        <f t="shared" si="11"/>
        <v>152</v>
      </c>
      <c r="E37" s="250">
        <v>32</v>
      </c>
      <c r="F37" s="114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48"/>
      <c r="AA37" s="120"/>
      <c r="AB37" s="114"/>
    </row>
    <row r="38" spans="1:29" ht="13.5" customHeight="1">
      <c r="A38" s="131" t="s">
        <v>42</v>
      </c>
      <c r="B38" s="153">
        <f>G7+G23</f>
        <v>160</v>
      </c>
      <c r="C38" s="154">
        <f>F7+F23</f>
        <v>168</v>
      </c>
      <c r="D38" s="247">
        <f t="shared" si="11"/>
        <v>160</v>
      </c>
      <c r="E38" s="250">
        <v>38</v>
      </c>
      <c r="F38" s="114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48"/>
      <c r="AA38" s="120"/>
      <c r="AB38" s="114"/>
    </row>
    <row r="39" spans="1:29" ht="13.5" customHeight="1">
      <c r="A39" s="131" t="s">
        <v>43</v>
      </c>
      <c r="B39" s="153">
        <f>G8+G24</f>
        <v>160</v>
      </c>
      <c r="C39" s="154">
        <f>F8+F24</f>
        <v>168</v>
      </c>
      <c r="D39" s="247">
        <f t="shared" si="11"/>
        <v>160</v>
      </c>
      <c r="E39" s="250">
        <v>39</v>
      </c>
      <c r="F39" s="114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48"/>
      <c r="AA39" s="120"/>
      <c r="AB39" s="114"/>
    </row>
    <row r="40" spans="1:29" ht="13.5" customHeight="1">
      <c r="A40" s="139" t="s">
        <v>44</v>
      </c>
      <c r="B40" s="216">
        <f>G9+G25</f>
        <v>84</v>
      </c>
      <c r="C40" s="217">
        <f>F9+F25</f>
        <v>84</v>
      </c>
      <c r="D40" s="248">
        <f t="shared" si="11"/>
        <v>84</v>
      </c>
      <c r="E40" s="250">
        <v>34</v>
      </c>
      <c r="F40" s="114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48"/>
      <c r="AA40" s="120"/>
      <c r="AB40" s="114"/>
    </row>
    <row r="41" spans="1:29" ht="13.5" customHeight="1">
      <c r="A41" s="139" t="s">
        <v>45</v>
      </c>
      <c r="B41" s="216">
        <v>152</v>
      </c>
      <c r="C41" s="217">
        <v>152</v>
      </c>
      <c r="D41" s="248">
        <v>152</v>
      </c>
      <c r="E41" s="250">
        <v>33</v>
      </c>
      <c r="F41" s="114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48"/>
      <c r="AA41" s="120"/>
      <c r="AB41" s="114"/>
    </row>
    <row r="42" spans="1:29" ht="13.5" customHeight="1" thickBot="1">
      <c r="A42" s="139" t="s">
        <v>49</v>
      </c>
      <c r="B42" s="158">
        <f>H11+H27</f>
        <v>168</v>
      </c>
      <c r="C42" s="159">
        <f>F11+F27</f>
        <v>168</v>
      </c>
      <c r="D42" s="249">
        <f t="shared" si="11"/>
        <v>168</v>
      </c>
      <c r="E42" s="250">
        <v>40</v>
      </c>
      <c r="F42" s="114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48"/>
      <c r="AA42" s="120"/>
      <c r="AB42" s="114"/>
    </row>
    <row r="43" spans="1:29" ht="13.5" hidden="1" customHeight="1">
      <c r="A43" s="211"/>
      <c r="B43" s="212">
        <f>H12+H28</f>
        <v>0</v>
      </c>
      <c r="C43" s="213">
        <f t="shared" ref="C43:D46" si="12">B43</f>
        <v>0</v>
      </c>
      <c r="D43" s="214">
        <f t="shared" si="12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3.5" hidden="1" customHeight="1">
      <c r="A44" s="152"/>
      <c r="B44" s="153">
        <f>H13+H29</f>
        <v>0</v>
      </c>
      <c r="C44" s="154">
        <f t="shared" si="12"/>
        <v>0</v>
      </c>
      <c r="D44" s="155">
        <f t="shared" si="12"/>
        <v>0</v>
      </c>
      <c r="F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3.5" hidden="1" customHeight="1">
      <c r="A45" s="152"/>
      <c r="B45" s="153">
        <f>H14+H30</f>
        <v>0</v>
      </c>
      <c r="C45" s="154">
        <f t="shared" si="12"/>
        <v>0</v>
      </c>
      <c r="D45" s="155">
        <f t="shared" si="12"/>
        <v>0</v>
      </c>
      <c r="F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3.5" hidden="1" customHeight="1">
      <c r="A46" s="162"/>
      <c r="B46" s="158">
        <f>H15+H31</f>
        <v>0</v>
      </c>
      <c r="C46" s="159">
        <f t="shared" si="12"/>
        <v>0</v>
      </c>
      <c r="D46" s="160">
        <f t="shared" si="12"/>
        <v>0</v>
      </c>
      <c r="F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20"/>
      <c r="B47" s="120"/>
      <c r="C47" s="120"/>
      <c r="D47" s="120"/>
      <c r="E47" s="163"/>
      <c r="F47" s="163"/>
      <c r="G47" s="163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 thickBot="1">
      <c r="A48" s="209"/>
      <c r="B48" s="209"/>
      <c r="C48" s="209"/>
      <c r="D48" s="120"/>
      <c r="E48" s="163"/>
      <c r="F48" s="163"/>
      <c r="G48" s="163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4.25" customHeight="1">
      <c r="A49" s="263" t="s">
        <v>0</v>
      </c>
      <c r="B49" s="264"/>
      <c r="C49" s="265"/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64" t="s">
        <v>26</v>
      </c>
      <c r="B50" s="165" t="s">
        <v>27</v>
      </c>
      <c r="C50" s="166" t="s">
        <v>28</v>
      </c>
      <c r="D50" s="209"/>
      <c r="E50" s="120"/>
      <c r="F50" s="120"/>
      <c r="G50" s="114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67" t="s">
        <v>29</v>
      </c>
      <c r="B51" s="168">
        <v>10</v>
      </c>
      <c r="C51" s="171">
        <f>B51*8</f>
        <v>80</v>
      </c>
      <c r="D51" s="209"/>
      <c r="E51" s="120"/>
      <c r="F51" s="120"/>
      <c r="G51" s="120"/>
      <c r="H51" s="114"/>
      <c r="I51" s="169"/>
      <c r="J51" s="169"/>
      <c r="K51" s="169"/>
      <c r="L51" s="169"/>
      <c r="M51" s="169"/>
      <c r="N51" s="169"/>
      <c r="O51" s="169"/>
      <c r="P51" s="114"/>
      <c r="Q51" s="114"/>
      <c r="R51" s="114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56" t="s">
        <v>30</v>
      </c>
      <c r="B52" s="170">
        <v>0</v>
      </c>
      <c r="C52" s="171">
        <f>B52*8</f>
        <v>0</v>
      </c>
      <c r="D52" s="209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2.75" customHeight="1" thickBot="1">
      <c r="A53" s="157" t="s">
        <v>31</v>
      </c>
      <c r="B53" s="172">
        <f t="shared" ref="B53:C53" si="13">B51-B52</f>
        <v>10</v>
      </c>
      <c r="C53" s="173">
        <f t="shared" si="13"/>
        <v>80</v>
      </c>
      <c r="D53" s="209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209"/>
      <c r="B54" s="209"/>
      <c r="C54" s="209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 thickBot="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4.25" customHeight="1">
      <c r="A56" s="263" t="s">
        <v>22</v>
      </c>
      <c r="B56" s="264"/>
      <c r="C56" s="265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64" t="s">
        <v>26</v>
      </c>
      <c r="B57" s="165" t="s">
        <v>27</v>
      </c>
      <c r="C57" s="166" t="s">
        <v>28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74" t="s">
        <v>29</v>
      </c>
      <c r="B58" s="168">
        <v>12</v>
      </c>
      <c r="C58" s="171">
        <f t="shared" ref="C58:C59" si="14">B58*8</f>
        <v>96</v>
      </c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74" t="s">
        <v>30</v>
      </c>
      <c r="B59" s="175">
        <v>0</v>
      </c>
      <c r="C59" s="171">
        <f t="shared" si="14"/>
        <v>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 thickBot="1">
      <c r="A60" s="176" t="s">
        <v>31</v>
      </c>
      <c r="B60" s="172">
        <f t="shared" ref="B60:C60" si="15">B58-B59</f>
        <v>12</v>
      </c>
      <c r="C60" s="173">
        <f t="shared" si="15"/>
        <v>96</v>
      </c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 thickBo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 thickBot="1">
      <c r="A62" s="120"/>
      <c r="B62" s="177" t="s">
        <v>32</v>
      </c>
      <c r="C62" s="178">
        <f>C53+C60</f>
        <v>176</v>
      </c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79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79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79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48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48"/>
      <c r="AB79" s="120"/>
      <c r="AC79" s="114"/>
    </row>
    <row r="80" spans="1:29" ht="12.75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48"/>
      <c r="AB80" s="120"/>
      <c r="AC80" s="114"/>
    </row>
    <row r="81" spans="1:29" ht="12.7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14"/>
      <c r="AB81" s="120"/>
      <c r="AC81" s="114"/>
    </row>
    <row r="82" spans="1:29" ht="12.75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14"/>
      <c r="AB82" s="114"/>
      <c r="AC82" s="114"/>
    </row>
    <row r="83" spans="1:29" ht="12.75" customHeight="1">
      <c r="A83" s="114"/>
      <c r="B83" s="114"/>
      <c r="C83" s="114"/>
      <c r="D83" s="114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14"/>
      <c r="AB83" s="114"/>
      <c r="AC83" s="114"/>
    </row>
    <row r="84" spans="1:29" ht="12.75" customHeight="1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</row>
    <row r="263" s="115" customFormat="1"/>
    <row r="264" s="115" customFormat="1"/>
    <row r="265" s="115" customFormat="1"/>
    <row r="266" s="115" customFormat="1"/>
    <row r="267" s="115" customFormat="1"/>
    <row r="268" s="115" customFormat="1"/>
    <row r="269" s="115" customFormat="1"/>
    <row r="270" s="115" customFormat="1"/>
    <row r="271" s="115" customFormat="1"/>
    <row r="272" s="115" customFormat="1"/>
    <row r="273" s="115" customFormat="1"/>
    <row r="274" s="115" customFormat="1"/>
    <row r="275" s="115" customFormat="1"/>
    <row r="276" s="115" customFormat="1"/>
    <row r="277" s="115" customFormat="1"/>
    <row r="278" s="115" customFormat="1"/>
    <row r="279" s="115" customFormat="1"/>
    <row r="280" s="115" customFormat="1"/>
    <row r="281" s="115" customFormat="1"/>
    <row r="282" s="115" customFormat="1"/>
    <row r="283" s="115" customFormat="1"/>
    <row r="284" s="115" customFormat="1"/>
    <row r="285" s="115" customFormat="1"/>
    <row r="286" s="115" customFormat="1"/>
    <row r="287" s="115" customFormat="1"/>
    <row r="288" s="115" customFormat="1"/>
    <row r="289" s="115" customFormat="1"/>
    <row r="290" s="115" customFormat="1"/>
    <row r="291" s="115" customFormat="1"/>
    <row r="292" s="115" customFormat="1"/>
    <row r="293" s="115" customFormat="1"/>
    <row r="294" s="115" customFormat="1"/>
    <row r="295" s="115" customFormat="1"/>
    <row r="296" s="115" customFormat="1"/>
    <row r="297" s="115" customFormat="1"/>
    <row r="298" s="115" customFormat="1"/>
    <row r="299" s="115" customFormat="1"/>
    <row r="300" s="115" customFormat="1"/>
    <row r="301" s="115" customFormat="1"/>
    <row r="302" s="115" customFormat="1"/>
    <row r="303" s="115" customFormat="1"/>
    <row r="304" s="115" customFormat="1"/>
    <row r="305" s="115" customFormat="1"/>
    <row r="306" s="115" customFormat="1"/>
    <row r="307" s="115" customFormat="1"/>
    <row r="308" s="115" customFormat="1"/>
    <row r="309" s="115" customFormat="1"/>
    <row r="310" s="115" customFormat="1"/>
    <row r="311" s="115" customFormat="1"/>
    <row r="312" s="115" customFormat="1"/>
    <row r="313" s="115" customFormat="1"/>
    <row r="314" s="115" customFormat="1"/>
    <row r="315" s="115" customFormat="1"/>
    <row r="316" s="115" customFormat="1"/>
    <row r="317" s="115" customFormat="1"/>
    <row r="318" s="115" customFormat="1"/>
    <row r="319" s="115" customFormat="1"/>
    <row r="320" s="115" customFormat="1"/>
    <row r="321" s="115" customFormat="1"/>
    <row r="322" s="115" customFormat="1"/>
    <row r="323" s="115" customFormat="1"/>
    <row r="324" s="115" customFormat="1"/>
    <row r="325" s="115" customFormat="1"/>
    <row r="326" s="115" customFormat="1"/>
    <row r="327" s="115" customFormat="1"/>
    <row r="328" s="115" customFormat="1"/>
    <row r="329" s="115" customFormat="1"/>
    <row r="330" s="115" customFormat="1"/>
    <row r="331" s="115" customFormat="1"/>
    <row r="332" s="115" customFormat="1"/>
    <row r="333" s="115" customFormat="1"/>
    <row r="334" s="115" customFormat="1"/>
    <row r="335" s="115" customFormat="1"/>
    <row r="336" s="115" customFormat="1"/>
    <row r="337" s="115" customFormat="1"/>
    <row r="338" s="115" customFormat="1"/>
    <row r="339" s="115" customFormat="1"/>
    <row r="340" s="115" customFormat="1"/>
    <row r="341" s="115" customFormat="1"/>
    <row r="342" s="115" customFormat="1"/>
    <row r="343" s="115" customFormat="1"/>
    <row r="344" s="115" customFormat="1"/>
    <row r="345" s="115" customFormat="1"/>
    <row r="346" s="115" customFormat="1"/>
    <row r="347" s="115" customFormat="1"/>
    <row r="348" s="115" customFormat="1"/>
    <row r="349" s="115" customFormat="1"/>
    <row r="350" s="115" customFormat="1"/>
    <row r="351" s="115" customFormat="1"/>
    <row r="352" s="115" customFormat="1"/>
    <row r="353" s="115" customFormat="1"/>
    <row r="354" s="115" customFormat="1"/>
    <row r="355" s="115" customFormat="1"/>
    <row r="356" s="115" customFormat="1"/>
    <row r="357" s="115" customFormat="1"/>
    <row r="358" s="115" customFormat="1"/>
    <row r="359" s="115" customFormat="1"/>
    <row r="360" s="115" customFormat="1"/>
    <row r="361" s="115" customFormat="1"/>
    <row r="362" s="115" customFormat="1"/>
    <row r="363" s="115" customFormat="1"/>
    <row r="364" s="115" customFormat="1"/>
    <row r="365" s="115" customFormat="1"/>
    <row r="366" s="115" customFormat="1"/>
    <row r="367" s="115" customFormat="1"/>
    <row r="368" s="115" customFormat="1"/>
    <row r="369" s="115" customFormat="1"/>
    <row r="370" s="115" customFormat="1"/>
    <row r="371" s="115" customFormat="1"/>
    <row r="372" s="115" customFormat="1"/>
    <row r="373" s="115" customFormat="1"/>
    <row r="374" s="115" customFormat="1"/>
    <row r="375" s="115" customFormat="1"/>
    <row r="376" s="115" customFormat="1"/>
    <row r="377" s="115" customFormat="1"/>
    <row r="378" s="115" customFormat="1"/>
    <row r="379" s="115" customFormat="1"/>
    <row r="380" s="115" customFormat="1"/>
    <row r="381" s="115" customFormat="1"/>
    <row r="382" s="115" customFormat="1"/>
    <row r="383" s="115" customFormat="1"/>
    <row r="384" s="115" customFormat="1"/>
    <row r="385" s="115" customFormat="1"/>
    <row r="386" s="115" customFormat="1"/>
    <row r="387" s="115" customFormat="1"/>
    <row r="388" s="115" customFormat="1"/>
    <row r="389" s="115" customFormat="1"/>
    <row r="390" s="115" customFormat="1"/>
    <row r="391" s="115" customFormat="1"/>
    <row r="392" s="115" customFormat="1"/>
    <row r="393" s="115" customFormat="1"/>
    <row r="394" s="115" customFormat="1"/>
    <row r="395" s="115" customFormat="1"/>
    <row r="396" s="115" customFormat="1"/>
    <row r="397" s="115" customFormat="1"/>
    <row r="398" s="115" customFormat="1"/>
    <row r="399" s="115" customFormat="1"/>
    <row r="400" s="115" customFormat="1"/>
    <row r="401" s="115" customFormat="1"/>
    <row r="402" s="115" customFormat="1"/>
    <row r="403" s="115" customFormat="1"/>
    <row r="404" s="115" customFormat="1"/>
    <row r="405" s="115" customFormat="1"/>
    <row r="406" s="115" customFormat="1"/>
    <row r="407" s="115" customFormat="1"/>
    <row r="408" s="115" customFormat="1"/>
    <row r="409" s="115" customFormat="1"/>
    <row r="410" s="115" customFormat="1"/>
    <row r="411" s="115" customFormat="1"/>
    <row r="412" s="115" customFormat="1"/>
    <row r="413" s="115" customFormat="1"/>
    <row r="414" s="115" customFormat="1"/>
    <row r="415" s="115" customFormat="1"/>
    <row r="416" s="115" customFormat="1"/>
    <row r="417" s="115" customFormat="1"/>
    <row r="418" s="115" customFormat="1"/>
    <row r="419" s="115" customFormat="1"/>
    <row r="420" s="115" customFormat="1"/>
    <row r="421" s="115" customFormat="1"/>
    <row r="422" s="115" customFormat="1"/>
    <row r="423" s="115" customFormat="1"/>
    <row r="424" s="115" customFormat="1"/>
    <row r="425" s="115" customFormat="1"/>
    <row r="426" s="115" customFormat="1"/>
    <row r="427" s="115" customFormat="1"/>
    <row r="428" s="115" customFormat="1"/>
    <row r="429" s="115" customFormat="1"/>
    <row r="430" s="115" customFormat="1"/>
    <row r="431" s="115" customFormat="1"/>
    <row r="432" s="115" customFormat="1"/>
    <row r="433" s="115" customFormat="1"/>
    <row r="434" s="115" customFormat="1"/>
    <row r="435" s="115" customFormat="1"/>
    <row r="436" s="115" customFormat="1"/>
    <row r="437" s="115" customFormat="1"/>
    <row r="438" s="115" customFormat="1"/>
    <row r="439" s="115" customFormat="1"/>
    <row r="440" s="115" customFormat="1"/>
    <row r="441" s="115" customFormat="1"/>
    <row r="442" s="115" customFormat="1"/>
    <row r="443" s="115" customFormat="1"/>
    <row r="444" s="115" customFormat="1"/>
    <row r="445" s="115" customFormat="1"/>
    <row r="446" s="115" customFormat="1"/>
    <row r="447" s="115" customFormat="1"/>
    <row r="448" s="115" customFormat="1"/>
    <row r="449" s="115" customFormat="1"/>
    <row r="450" s="115" customFormat="1"/>
    <row r="451" s="115" customFormat="1"/>
    <row r="452" s="115" customFormat="1"/>
    <row r="453" s="115" customFormat="1"/>
    <row r="454" s="115" customFormat="1"/>
    <row r="455" s="115" customFormat="1"/>
    <row r="456" s="115" customFormat="1"/>
    <row r="457" s="115" customFormat="1"/>
    <row r="458" s="115" customFormat="1"/>
    <row r="459" s="115" customFormat="1"/>
    <row r="460" s="115" customFormat="1"/>
    <row r="461" s="115" customFormat="1"/>
    <row r="462" s="115" customFormat="1"/>
    <row r="463" s="115" customFormat="1"/>
    <row r="464" s="115" customFormat="1"/>
    <row r="465" s="115" customFormat="1"/>
    <row r="466" s="115" customFormat="1"/>
    <row r="467" s="115" customFormat="1"/>
    <row r="468" s="115" customFormat="1"/>
    <row r="469" s="115" customFormat="1"/>
    <row r="470" s="115" customFormat="1"/>
    <row r="471" s="115" customFormat="1"/>
    <row r="472" s="115" customFormat="1"/>
    <row r="473" s="115" customFormat="1"/>
    <row r="474" s="115" customFormat="1"/>
    <row r="475" s="115" customFormat="1"/>
    <row r="476" s="115" customFormat="1"/>
    <row r="477" s="115" customFormat="1"/>
    <row r="478" s="115" customFormat="1"/>
    <row r="479" s="115" customFormat="1"/>
    <row r="480" s="115" customFormat="1"/>
    <row r="481" s="115" customFormat="1"/>
    <row r="482" s="115" customFormat="1"/>
    <row r="483" s="115" customFormat="1"/>
    <row r="484" s="115" customFormat="1"/>
    <row r="485" s="115" customFormat="1"/>
    <row r="486" s="115" customFormat="1"/>
    <row r="487" s="115" customFormat="1"/>
    <row r="488" s="115" customFormat="1"/>
    <row r="489" s="115" customFormat="1"/>
    <row r="490" s="115" customFormat="1"/>
    <row r="491" s="115" customFormat="1"/>
    <row r="492" s="115" customFormat="1"/>
    <row r="493" s="115" customFormat="1"/>
    <row r="494" s="115" customFormat="1"/>
    <row r="495" s="115" customFormat="1"/>
    <row r="496" s="115" customFormat="1"/>
    <row r="497" s="115" customFormat="1"/>
    <row r="498" s="115" customFormat="1"/>
    <row r="499" s="115" customFormat="1"/>
    <row r="500" s="115" customFormat="1"/>
    <row r="501" s="115" customFormat="1"/>
    <row r="502" s="115" customFormat="1"/>
    <row r="503" s="115" customFormat="1"/>
    <row r="504" s="115" customFormat="1"/>
    <row r="505" s="115" customFormat="1"/>
    <row r="506" s="115" customFormat="1"/>
    <row r="507" s="115" customFormat="1"/>
    <row r="508" s="115" customFormat="1"/>
    <row r="509" s="115" customFormat="1"/>
    <row r="510" s="115" customFormat="1"/>
    <row r="511" s="115" customFormat="1"/>
    <row r="512" s="115" customFormat="1"/>
    <row r="513" s="115" customFormat="1"/>
    <row r="514" s="115" customFormat="1"/>
    <row r="515" s="115" customFormat="1"/>
    <row r="516" s="115" customFormat="1"/>
    <row r="517" s="115" customFormat="1"/>
    <row r="518" s="115" customFormat="1"/>
    <row r="519" s="115" customFormat="1"/>
    <row r="520" s="115" customFormat="1"/>
    <row r="521" s="115" customFormat="1"/>
    <row r="522" s="115" customFormat="1"/>
    <row r="523" s="115" customFormat="1"/>
    <row r="524" s="115" customFormat="1"/>
    <row r="525" s="115" customFormat="1"/>
    <row r="526" s="115" customFormat="1"/>
    <row r="527" s="115" customFormat="1"/>
    <row r="528" s="115" customFormat="1"/>
    <row r="529" s="115" customFormat="1"/>
    <row r="530" s="115" customFormat="1"/>
    <row r="531" s="115" customFormat="1"/>
    <row r="532" s="115" customFormat="1"/>
    <row r="533" s="115" customFormat="1"/>
    <row r="534" s="115" customFormat="1"/>
    <row r="535" s="115" customFormat="1"/>
    <row r="536" s="115" customFormat="1"/>
    <row r="537" s="115" customFormat="1"/>
    <row r="538" s="115" customFormat="1"/>
    <row r="539" s="115" customFormat="1"/>
    <row r="540" s="115" customFormat="1"/>
    <row r="541" s="115" customFormat="1"/>
    <row r="542" s="115" customFormat="1"/>
    <row r="543" s="115" customFormat="1"/>
    <row r="544" s="115" customFormat="1"/>
    <row r="545" s="115" customFormat="1"/>
    <row r="546" s="115" customFormat="1"/>
    <row r="547" s="115" customFormat="1"/>
    <row r="548" s="115" customFormat="1"/>
    <row r="549" s="115" customFormat="1"/>
    <row r="550" s="115" customFormat="1"/>
    <row r="551" s="115" customFormat="1"/>
    <row r="552" s="115" customFormat="1"/>
    <row r="553" s="115" customFormat="1"/>
    <row r="554" s="115" customFormat="1"/>
    <row r="555" s="115" customFormat="1"/>
    <row r="556" s="115" customFormat="1"/>
    <row r="557" s="115" customFormat="1"/>
    <row r="558" s="115" customFormat="1"/>
    <row r="559" s="115" customFormat="1"/>
    <row r="560" s="115" customFormat="1"/>
    <row r="561" s="115" customFormat="1"/>
    <row r="562" s="115" customFormat="1"/>
    <row r="563" s="115" customFormat="1"/>
    <row r="564" s="115" customFormat="1"/>
    <row r="565" s="115" customFormat="1"/>
    <row r="566" s="115" customFormat="1"/>
    <row r="567" s="115" customFormat="1"/>
    <row r="568" s="115" customFormat="1"/>
    <row r="569" s="115" customFormat="1"/>
    <row r="570" s="115" customFormat="1"/>
    <row r="571" s="115" customFormat="1"/>
    <row r="572" s="115" customFormat="1"/>
    <row r="573" s="115" customFormat="1"/>
    <row r="574" s="115" customFormat="1"/>
    <row r="575" s="115" customFormat="1"/>
    <row r="576" s="115" customFormat="1"/>
    <row r="577" s="115" customFormat="1"/>
    <row r="578" s="115" customFormat="1"/>
    <row r="579" s="115" customFormat="1"/>
    <row r="580" s="115" customFormat="1"/>
    <row r="581" s="115" customFormat="1"/>
    <row r="582" s="115" customFormat="1"/>
    <row r="583" s="115" customFormat="1"/>
    <row r="584" s="115" customFormat="1"/>
    <row r="585" s="115" customFormat="1"/>
    <row r="586" s="115" customFormat="1"/>
    <row r="587" s="115" customFormat="1"/>
    <row r="588" s="115" customFormat="1"/>
    <row r="589" s="115" customFormat="1"/>
    <row r="590" s="115" customFormat="1"/>
    <row r="591" s="115" customFormat="1"/>
    <row r="592" s="115" customFormat="1"/>
    <row r="593" s="115" customFormat="1"/>
    <row r="594" s="115" customFormat="1"/>
    <row r="595" s="115" customFormat="1"/>
    <row r="596" s="115" customFormat="1"/>
    <row r="597" s="115" customFormat="1"/>
    <row r="598" s="115" customFormat="1"/>
    <row r="599" s="115" customFormat="1"/>
    <row r="600" s="115" customFormat="1"/>
    <row r="601" s="115" customFormat="1"/>
    <row r="602" s="115" customFormat="1"/>
    <row r="603" s="115" customFormat="1"/>
    <row r="604" s="115" customFormat="1"/>
    <row r="605" s="115" customFormat="1"/>
    <row r="606" s="115" customFormat="1"/>
    <row r="607" s="115" customFormat="1"/>
    <row r="608" s="115" customFormat="1"/>
    <row r="609" s="115" customFormat="1"/>
    <row r="610" s="115" customFormat="1"/>
    <row r="611" s="115" customFormat="1"/>
    <row r="612" s="115" customFormat="1"/>
    <row r="613" s="115" customFormat="1"/>
    <row r="614" s="115" customFormat="1"/>
    <row r="615" s="115" customFormat="1"/>
    <row r="616" s="115" customFormat="1"/>
    <row r="617" s="115" customFormat="1"/>
    <row r="618" s="115" customFormat="1"/>
    <row r="619" s="115" customFormat="1"/>
    <row r="620" s="115" customFormat="1"/>
    <row r="621" s="115" customFormat="1"/>
    <row r="622" s="115" customFormat="1"/>
    <row r="623" s="115" customFormat="1"/>
    <row r="624" s="115" customFormat="1"/>
    <row r="625" s="115" customFormat="1"/>
    <row r="626" s="115" customFormat="1"/>
    <row r="627" s="115" customFormat="1"/>
    <row r="628" s="115" customFormat="1"/>
    <row r="629" s="115" customFormat="1"/>
    <row r="630" s="115" customFormat="1"/>
    <row r="631" s="115" customFormat="1"/>
    <row r="632" s="115" customFormat="1"/>
    <row r="633" s="115" customFormat="1"/>
    <row r="634" s="115" customFormat="1"/>
    <row r="635" s="115" customFormat="1"/>
    <row r="636" s="115" customFormat="1"/>
    <row r="637" s="115" customFormat="1"/>
    <row r="638" s="115" customFormat="1"/>
    <row r="639" s="115" customFormat="1"/>
    <row r="640" s="115" customFormat="1"/>
    <row r="641" s="115" customFormat="1"/>
    <row r="642" s="115" customFormat="1"/>
    <row r="643" s="115" customFormat="1"/>
    <row r="644" s="115" customFormat="1"/>
    <row r="645" s="115" customFormat="1"/>
    <row r="646" s="115" customFormat="1"/>
    <row r="647" s="115" customFormat="1"/>
    <row r="648" s="115" customFormat="1"/>
    <row r="649" s="115" customFormat="1"/>
    <row r="650" s="115" customFormat="1"/>
    <row r="651" s="115" customFormat="1"/>
    <row r="652" s="115" customFormat="1"/>
    <row r="653" s="115" customFormat="1"/>
    <row r="654" s="115" customFormat="1"/>
    <row r="655" s="115" customFormat="1"/>
    <row r="656" s="115" customFormat="1"/>
    <row r="657" s="115" customFormat="1"/>
    <row r="658" s="115" customFormat="1"/>
    <row r="659" s="115" customFormat="1"/>
    <row r="660" s="115" customFormat="1"/>
    <row r="661" s="115" customFormat="1"/>
    <row r="662" s="115" customFormat="1"/>
    <row r="663" s="115" customFormat="1"/>
    <row r="664" s="115" customFormat="1"/>
    <row r="665" s="115" customFormat="1"/>
    <row r="666" s="115" customFormat="1"/>
    <row r="667" s="115" customFormat="1"/>
    <row r="668" s="115" customFormat="1"/>
    <row r="669" s="115" customFormat="1"/>
    <row r="670" s="115" customFormat="1"/>
    <row r="671" s="115" customFormat="1"/>
    <row r="672" s="115" customFormat="1"/>
    <row r="673" s="115" customFormat="1"/>
    <row r="674" s="115" customFormat="1"/>
    <row r="675" s="115" customFormat="1"/>
    <row r="676" s="115" customFormat="1"/>
    <row r="677" s="115" customFormat="1"/>
    <row r="678" s="115" customFormat="1"/>
    <row r="679" s="115" customFormat="1"/>
    <row r="680" s="115" customFormat="1"/>
    <row r="681" s="115" customFormat="1"/>
    <row r="682" s="115" customFormat="1"/>
    <row r="683" s="115" customFormat="1"/>
    <row r="684" s="115" customFormat="1"/>
    <row r="685" s="115" customFormat="1"/>
    <row r="686" s="115" customFormat="1"/>
    <row r="687" s="115" customFormat="1"/>
    <row r="688" s="115" customFormat="1"/>
    <row r="689" s="115" customFormat="1"/>
    <row r="690" s="115" customFormat="1"/>
    <row r="691" s="115" customFormat="1"/>
    <row r="692" s="115" customFormat="1"/>
    <row r="693" s="115" customFormat="1"/>
    <row r="694" s="115" customFormat="1"/>
    <row r="695" s="115" customFormat="1"/>
    <row r="696" s="115" customFormat="1"/>
    <row r="697" s="115" customFormat="1"/>
    <row r="698" s="115" customFormat="1"/>
    <row r="699" s="115" customFormat="1"/>
    <row r="700" s="115" customFormat="1"/>
    <row r="701" s="115" customFormat="1"/>
    <row r="702" s="115" customFormat="1"/>
    <row r="703" s="115" customFormat="1"/>
    <row r="704" s="115" customFormat="1"/>
    <row r="705" s="115" customFormat="1"/>
    <row r="706" s="115" customFormat="1"/>
    <row r="707" s="115" customFormat="1"/>
    <row r="708" s="115" customFormat="1"/>
    <row r="709" s="115" customFormat="1"/>
    <row r="710" s="115" customFormat="1"/>
    <row r="711" s="115" customFormat="1"/>
    <row r="712" s="115" customFormat="1"/>
    <row r="713" s="115" customFormat="1"/>
    <row r="714" s="115" customFormat="1"/>
    <row r="715" s="115" customFormat="1"/>
    <row r="716" s="115" customFormat="1"/>
    <row r="717" s="115" customFormat="1"/>
    <row r="718" s="115" customFormat="1"/>
    <row r="719" s="115" customFormat="1"/>
    <row r="720" s="115" customFormat="1"/>
    <row r="721" s="115" customFormat="1"/>
    <row r="722" s="115" customFormat="1"/>
    <row r="723" s="115" customFormat="1"/>
    <row r="724" s="115" customFormat="1"/>
    <row r="725" s="115" customFormat="1"/>
    <row r="726" s="115" customFormat="1"/>
    <row r="727" s="115" customFormat="1"/>
    <row r="728" s="115" customFormat="1"/>
    <row r="729" s="115" customFormat="1"/>
    <row r="730" s="115" customFormat="1"/>
    <row r="731" s="115" customFormat="1"/>
    <row r="732" s="115" customFormat="1"/>
    <row r="733" s="115" customFormat="1"/>
    <row r="734" s="115" customFormat="1"/>
    <row r="735" s="115" customFormat="1"/>
    <row r="736" s="115" customFormat="1"/>
    <row r="737" s="115" customFormat="1"/>
    <row r="738" s="115" customFormat="1"/>
    <row r="739" s="115" customFormat="1"/>
    <row r="740" s="115" customFormat="1"/>
    <row r="741" s="115" customFormat="1"/>
    <row r="742" s="115" customFormat="1"/>
    <row r="743" s="115" customFormat="1"/>
    <row r="744" s="115" customFormat="1"/>
    <row r="745" s="115" customFormat="1"/>
    <row r="746" s="115" customFormat="1"/>
    <row r="747" s="115" customFormat="1"/>
    <row r="748" s="115" customFormat="1"/>
    <row r="749" s="115" customFormat="1"/>
    <row r="750" s="115" customFormat="1"/>
    <row r="751" s="115" customFormat="1"/>
    <row r="752" s="115" customFormat="1"/>
    <row r="753" s="115" customFormat="1"/>
    <row r="754" s="115" customFormat="1"/>
    <row r="755" s="115" customFormat="1"/>
    <row r="756" s="115" customFormat="1"/>
    <row r="757" s="115" customFormat="1"/>
    <row r="758" s="115" customFormat="1"/>
    <row r="759" s="115" customFormat="1"/>
    <row r="760" s="115" customFormat="1"/>
    <row r="761" s="115" customFormat="1"/>
    <row r="762" s="115" customFormat="1"/>
    <row r="763" s="115" customFormat="1"/>
    <row r="764" s="115" customFormat="1"/>
    <row r="765" s="115" customFormat="1"/>
    <row r="766" s="115" customFormat="1"/>
    <row r="767" s="115" customFormat="1"/>
    <row r="768" s="115" customFormat="1"/>
    <row r="769" s="115" customFormat="1"/>
    <row r="770" s="115" customFormat="1"/>
    <row r="771" s="115" customFormat="1"/>
    <row r="772" s="115" customFormat="1"/>
    <row r="773" s="115" customFormat="1"/>
    <row r="774" s="115" customFormat="1"/>
    <row r="775" s="115" customFormat="1"/>
    <row r="776" s="115" customFormat="1"/>
    <row r="777" s="115" customFormat="1"/>
    <row r="778" s="115" customFormat="1"/>
    <row r="779" s="115" customFormat="1"/>
    <row r="780" s="115" customFormat="1"/>
    <row r="781" s="115" customFormat="1"/>
    <row r="782" s="115" customFormat="1"/>
    <row r="783" s="115" customFormat="1"/>
    <row r="784" s="115" customFormat="1"/>
    <row r="785" s="115" customFormat="1"/>
    <row r="786" s="115" customFormat="1"/>
    <row r="787" s="115" customFormat="1"/>
    <row r="788" s="115" customFormat="1"/>
    <row r="789" s="115" customFormat="1"/>
    <row r="790" s="115" customFormat="1"/>
    <row r="791" s="115" customFormat="1"/>
    <row r="792" s="115" customFormat="1"/>
    <row r="793" s="115" customFormat="1"/>
    <row r="794" s="115" customFormat="1"/>
    <row r="795" s="115" customFormat="1"/>
    <row r="796" s="115" customFormat="1"/>
    <row r="797" s="115" customFormat="1"/>
    <row r="798" s="115" customFormat="1"/>
    <row r="799" s="115" customFormat="1"/>
    <row r="800" s="115" customFormat="1"/>
    <row r="801" s="115" customFormat="1"/>
    <row r="802" s="115" customFormat="1"/>
    <row r="803" s="115" customFormat="1"/>
    <row r="804" s="115" customFormat="1"/>
    <row r="805" s="115" customFormat="1"/>
    <row r="806" s="115" customFormat="1"/>
    <row r="807" s="115" customFormat="1"/>
    <row r="808" s="115" customFormat="1"/>
    <row r="809" s="115" customFormat="1"/>
    <row r="810" s="115" customFormat="1"/>
    <row r="811" s="115" customFormat="1"/>
    <row r="812" s="115" customFormat="1"/>
    <row r="813" s="115" customFormat="1"/>
    <row r="814" s="115" customFormat="1"/>
    <row r="815" s="115" customFormat="1"/>
    <row r="816" s="115" customFormat="1"/>
    <row r="817" s="115" customFormat="1"/>
    <row r="818" s="115" customFormat="1"/>
    <row r="819" s="115" customFormat="1"/>
    <row r="820" s="115" customFormat="1"/>
    <row r="821" s="115" customFormat="1"/>
    <row r="822" s="115" customFormat="1"/>
    <row r="823" s="115" customFormat="1"/>
    <row r="824" s="115" customFormat="1"/>
    <row r="825" s="115" customFormat="1"/>
    <row r="826" s="115" customFormat="1"/>
    <row r="827" s="115" customFormat="1"/>
    <row r="828" s="115" customFormat="1"/>
    <row r="829" s="115" customFormat="1"/>
    <row r="830" s="115" customFormat="1"/>
    <row r="831" s="115" customFormat="1"/>
    <row r="832" s="115" customFormat="1"/>
    <row r="833" s="115" customFormat="1"/>
    <row r="834" s="115" customFormat="1"/>
    <row r="835" s="115" customFormat="1"/>
    <row r="836" s="115" customFormat="1"/>
    <row r="837" s="115" customFormat="1"/>
    <row r="838" s="115" customFormat="1"/>
    <row r="839" s="115" customFormat="1"/>
    <row r="840" s="115" customFormat="1"/>
    <row r="841" s="115" customFormat="1"/>
    <row r="842" s="115" customFormat="1"/>
    <row r="843" s="115" customFormat="1"/>
    <row r="844" s="115" customFormat="1"/>
    <row r="845" s="115" customFormat="1"/>
    <row r="846" s="115" customFormat="1"/>
    <row r="847" s="115" customFormat="1"/>
    <row r="848" s="115" customFormat="1"/>
    <row r="849" s="115" customFormat="1"/>
    <row r="850" s="115" customFormat="1"/>
    <row r="851" s="115" customFormat="1"/>
    <row r="852" s="115" customFormat="1"/>
    <row r="853" s="115" customFormat="1"/>
    <row r="854" s="115" customFormat="1"/>
    <row r="855" s="115" customFormat="1"/>
    <row r="856" s="115" customFormat="1"/>
    <row r="857" s="115" customFormat="1"/>
    <row r="858" s="115" customFormat="1"/>
    <row r="859" s="115" customFormat="1"/>
    <row r="860" s="115" customFormat="1"/>
    <row r="861" s="115" customFormat="1"/>
    <row r="862" s="115" customFormat="1"/>
    <row r="863" s="115" customFormat="1"/>
    <row r="864" s="115" customFormat="1"/>
    <row r="865" s="115" customFormat="1"/>
    <row r="866" s="115" customFormat="1"/>
    <row r="867" s="115" customFormat="1"/>
    <row r="868" s="115" customFormat="1"/>
    <row r="869" s="115" customFormat="1"/>
    <row r="870" s="115" customFormat="1"/>
    <row r="871" s="115" customFormat="1"/>
    <row r="872" s="115" customFormat="1"/>
    <row r="873" s="115" customFormat="1"/>
    <row r="874" s="115" customFormat="1"/>
    <row r="875" s="115" customFormat="1"/>
    <row r="876" s="115" customFormat="1"/>
    <row r="877" s="115" customFormat="1"/>
    <row r="878" s="115" customFormat="1"/>
    <row r="879" s="115" customFormat="1"/>
    <row r="880" s="115" customFormat="1"/>
    <row r="881" s="115" customFormat="1"/>
    <row r="882" s="115" customFormat="1"/>
    <row r="883" s="115" customFormat="1"/>
    <row r="884" s="115" customFormat="1"/>
    <row r="885" s="115" customFormat="1"/>
    <row r="886" s="115" customFormat="1"/>
    <row r="887" s="115" customFormat="1"/>
    <row r="888" s="115" customFormat="1"/>
    <row r="889" s="115" customFormat="1"/>
    <row r="890" s="115" customFormat="1"/>
    <row r="891" s="115" customFormat="1"/>
    <row r="892" s="115" customFormat="1"/>
    <row r="893" s="115" customFormat="1"/>
    <row r="894" s="115" customFormat="1"/>
    <row r="895" s="115" customFormat="1"/>
    <row r="896" s="115" customFormat="1"/>
    <row r="897" s="115" customFormat="1"/>
    <row r="898" s="115" customFormat="1"/>
    <row r="899" s="115" customFormat="1"/>
    <row r="900" s="115" customFormat="1"/>
    <row r="901" s="115" customFormat="1"/>
    <row r="902" s="115" customFormat="1"/>
    <row r="903" s="115" customFormat="1"/>
    <row r="904" s="115" customFormat="1"/>
    <row r="905" s="115" customFormat="1"/>
    <row r="906" s="115" customFormat="1"/>
    <row r="907" s="115" customFormat="1"/>
    <row r="908" s="115" customFormat="1"/>
    <row r="909" s="115" customFormat="1"/>
    <row r="910" s="115" customFormat="1"/>
    <row r="911" s="115" customFormat="1"/>
    <row r="912" s="115" customFormat="1"/>
    <row r="913" s="115" customFormat="1"/>
    <row r="914" s="115" customFormat="1"/>
    <row r="915" s="115" customFormat="1"/>
    <row r="916" s="115" customFormat="1"/>
    <row r="917" s="115" customFormat="1"/>
    <row r="918" s="115" customFormat="1"/>
    <row r="919" s="115" customFormat="1"/>
    <row r="920" s="115" customFormat="1"/>
    <row r="921" s="115" customFormat="1"/>
    <row r="922" s="115" customFormat="1"/>
    <row r="923" s="115" customFormat="1"/>
    <row r="924" s="115" customFormat="1"/>
    <row r="925" s="115" customFormat="1"/>
    <row r="926" s="115" customFormat="1"/>
    <row r="927" s="115" customFormat="1"/>
    <row r="928" s="115" customFormat="1"/>
    <row r="929" s="115" customFormat="1"/>
    <row r="930" s="115" customFormat="1"/>
    <row r="931" s="115" customFormat="1"/>
    <row r="932" s="115" customFormat="1"/>
    <row r="933" s="115" customFormat="1"/>
    <row r="934" s="115" customFormat="1"/>
    <row r="935" s="115" customFormat="1"/>
    <row r="936" s="115" customFormat="1"/>
    <row r="937" s="115" customFormat="1"/>
    <row r="938" s="115" customFormat="1"/>
    <row r="939" s="115" customFormat="1"/>
    <row r="940" s="115" customFormat="1"/>
    <row r="941" s="115" customFormat="1"/>
    <row r="942" s="115" customFormat="1"/>
    <row r="943" s="115" customFormat="1"/>
    <row r="944" s="115" customFormat="1"/>
    <row r="945" s="115" customFormat="1"/>
    <row r="946" s="115" customFormat="1"/>
    <row r="947" s="115" customFormat="1"/>
    <row r="948" s="115" customFormat="1"/>
    <row r="949" s="115" customFormat="1"/>
    <row r="950" s="115" customFormat="1"/>
    <row r="951" s="115" customFormat="1"/>
    <row r="952" s="115" customFormat="1"/>
    <row r="953" s="115" customFormat="1"/>
    <row r="954" s="115" customFormat="1"/>
    <row r="955" s="115" customFormat="1"/>
    <row r="956" s="115" customFormat="1"/>
    <row r="957" s="115" customFormat="1"/>
    <row r="958" s="115" customFormat="1"/>
    <row r="959" s="115" customFormat="1"/>
    <row r="960" s="115" customFormat="1"/>
    <row r="961" s="115" customFormat="1"/>
    <row r="962" s="115" customFormat="1"/>
    <row r="963" s="115" customFormat="1"/>
    <row r="964" s="115" customFormat="1"/>
    <row r="965" s="115" customFormat="1"/>
    <row r="966" s="115" customFormat="1"/>
    <row r="967" s="115" customFormat="1"/>
    <row r="968" s="115" customFormat="1"/>
    <row r="969" s="115" customFormat="1"/>
    <row r="970" s="115" customFormat="1"/>
    <row r="971" s="115" customFormat="1"/>
    <row r="972" s="115" customFormat="1"/>
    <row r="973" s="115" customFormat="1"/>
    <row r="974" s="115" customFormat="1"/>
    <row r="975" s="115" customFormat="1"/>
    <row r="976" s="115" customFormat="1"/>
    <row r="977" s="115" customFormat="1"/>
    <row r="978" s="115" customFormat="1"/>
    <row r="979" s="115" customFormat="1"/>
    <row r="980" s="115" customFormat="1"/>
    <row r="981" s="115" customFormat="1"/>
    <row r="982" s="115" customFormat="1"/>
    <row r="983" s="115" customFormat="1"/>
    <row r="984" s="115" customFormat="1"/>
    <row r="985" s="115" customFormat="1"/>
    <row r="986" s="115" customFormat="1"/>
    <row r="987" s="115" customFormat="1"/>
    <row r="988" s="115" customFormat="1"/>
    <row r="989" s="115" customFormat="1"/>
    <row r="990" s="115" customFormat="1"/>
    <row r="991" s="115" customFormat="1"/>
    <row r="992" s="115" customFormat="1"/>
    <row r="993" s="115" customFormat="1"/>
    <row r="994" s="115" customFormat="1"/>
    <row r="995" s="115" customFormat="1"/>
    <row r="996" s="115" customFormat="1"/>
    <row r="997" s="115" customFormat="1"/>
    <row r="998" s="115" customFormat="1"/>
    <row r="999" s="115" customFormat="1"/>
    <row r="1000" s="115" customFormat="1"/>
  </sheetData>
  <mergeCells count="19">
    <mergeCell ref="D4:D5"/>
    <mergeCell ref="C3:C4"/>
    <mergeCell ref="C19:C20"/>
    <mergeCell ref="AA19:AA20"/>
    <mergeCell ref="A49:C49"/>
    <mergeCell ref="A56:C56"/>
    <mergeCell ref="Z3:Z4"/>
    <mergeCell ref="A19:A20"/>
    <mergeCell ref="B19:B20"/>
    <mergeCell ref="D19:D20"/>
    <mergeCell ref="E19:E20"/>
    <mergeCell ref="F19:I19"/>
    <mergeCell ref="Z19:Z20"/>
    <mergeCell ref="A3:A4"/>
    <mergeCell ref="B3:B4"/>
    <mergeCell ref="D3:D4"/>
    <mergeCell ref="E3:E4"/>
    <mergeCell ref="F3:I3"/>
    <mergeCell ref="Y3:Y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1" t="s">
        <v>5</v>
      </c>
      <c r="F3" s="270"/>
      <c r="G3" s="270"/>
      <c r="H3" s="270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9" t="s">
        <v>6</v>
      </c>
      <c r="Y3" s="269" t="s">
        <v>7</v>
      </c>
      <c r="Z3" s="209"/>
      <c r="AA3" s="210"/>
      <c r="AB3" s="114"/>
    </row>
    <row r="4" spans="1:35" ht="27" customHeight="1">
      <c r="A4" s="270"/>
      <c r="B4" s="270"/>
      <c r="C4" s="270"/>
      <c r="D4" s="270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70"/>
      <c r="Y4" s="270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9" t="s">
        <v>1</v>
      </c>
      <c r="B18" s="269" t="s">
        <v>2</v>
      </c>
      <c r="C18" s="269" t="s">
        <v>3</v>
      </c>
      <c r="D18" s="269" t="s">
        <v>4</v>
      </c>
      <c r="E18" s="271" t="s">
        <v>5</v>
      </c>
      <c r="F18" s="270"/>
      <c r="G18" s="270"/>
      <c r="H18" s="270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9" t="s">
        <v>6</v>
      </c>
      <c r="Z18" s="269" t="s">
        <v>7</v>
      </c>
      <c r="AA18" s="209"/>
      <c r="AB18" s="114"/>
    </row>
    <row r="19" spans="1:29" ht="26.25" customHeight="1">
      <c r="A19" s="270"/>
      <c r="B19" s="270"/>
      <c r="C19" s="270"/>
      <c r="D19" s="270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70"/>
      <c r="Z19" s="270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3" t="s">
        <v>0</v>
      </c>
      <c r="B46" s="264"/>
      <c r="C46" s="26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3" t="s">
        <v>22</v>
      </c>
      <c r="B53" s="264"/>
      <c r="C53" s="26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1" t="s">
        <v>5</v>
      </c>
      <c r="F3" s="270"/>
      <c r="G3" s="270"/>
      <c r="H3" s="270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69" t="s">
        <v>6</v>
      </c>
      <c r="Y3" s="269" t="s">
        <v>7</v>
      </c>
      <c r="Z3" s="209"/>
      <c r="AA3" s="210"/>
      <c r="AB3" s="114"/>
    </row>
    <row r="4" spans="1:35" ht="27" customHeight="1">
      <c r="A4" s="270"/>
      <c r="B4" s="270"/>
      <c r="C4" s="270"/>
      <c r="D4" s="270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70"/>
      <c r="Y4" s="270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9" t="s">
        <v>1</v>
      </c>
      <c r="B18" s="269" t="s">
        <v>2</v>
      </c>
      <c r="C18" s="269" t="s">
        <v>3</v>
      </c>
      <c r="D18" s="269" t="s">
        <v>4</v>
      </c>
      <c r="E18" s="271" t="s">
        <v>5</v>
      </c>
      <c r="F18" s="270"/>
      <c r="G18" s="270"/>
      <c r="H18" s="270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69" t="s">
        <v>6</v>
      </c>
      <c r="Z18" s="269" t="s">
        <v>7</v>
      </c>
      <c r="AA18" s="209"/>
      <c r="AB18" s="114"/>
    </row>
    <row r="19" spans="1:29" ht="26.25" customHeight="1">
      <c r="A19" s="270"/>
      <c r="B19" s="270"/>
      <c r="C19" s="270"/>
      <c r="D19" s="270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70"/>
      <c r="Z19" s="270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3" t="s">
        <v>0</v>
      </c>
      <c r="B46" s="264"/>
      <c r="C46" s="26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3" t="s">
        <v>22</v>
      </c>
      <c r="B53" s="264"/>
      <c r="C53" s="26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1" t="s">
        <v>5</v>
      </c>
      <c r="F3" s="270"/>
      <c r="G3" s="270"/>
      <c r="H3" s="270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69" t="s">
        <v>6</v>
      </c>
      <c r="Y3" s="269" t="s">
        <v>7</v>
      </c>
      <c r="Z3" s="209"/>
      <c r="AA3" s="114"/>
      <c r="AB3" s="114"/>
    </row>
    <row r="4" spans="1:35" ht="27" customHeight="1">
      <c r="A4" s="270"/>
      <c r="B4" s="270"/>
      <c r="C4" s="270"/>
      <c r="D4" s="270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70"/>
      <c r="Y4" s="270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9" t="s">
        <v>1</v>
      </c>
      <c r="B18" s="269" t="s">
        <v>2</v>
      </c>
      <c r="C18" s="269" t="s">
        <v>3</v>
      </c>
      <c r="D18" s="269" t="s">
        <v>4</v>
      </c>
      <c r="E18" s="271" t="s">
        <v>5</v>
      </c>
      <c r="F18" s="270"/>
      <c r="G18" s="270"/>
      <c r="H18" s="270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69" t="s">
        <v>6</v>
      </c>
      <c r="Z18" s="269" t="s">
        <v>7</v>
      </c>
      <c r="AA18" s="209"/>
      <c r="AB18" s="114"/>
    </row>
    <row r="19" spans="1:29" ht="26.25" customHeight="1">
      <c r="A19" s="270"/>
      <c r="B19" s="270"/>
      <c r="C19" s="270"/>
      <c r="D19" s="270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70"/>
      <c r="Z19" s="270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3" t="s">
        <v>0</v>
      </c>
      <c r="B46" s="264"/>
      <c r="C46" s="26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3" t="s">
        <v>22</v>
      </c>
      <c r="B53" s="264"/>
      <c r="C53" s="26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1" t="s">
        <v>5</v>
      </c>
      <c r="F3" s="270"/>
      <c r="G3" s="270"/>
      <c r="H3" s="270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69" t="s">
        <v>6</v>
      </c>
      <c r="Y3" s="269" t="s">
        <v>7</v>
      </c>
      <c r="Z3" s="209"/>
      <c r="AA3" s="114"/>
      <c r="AB3" s="114"/>
    </row>
    <row r="4" spans="1:35" ht="27" customHeight="1">
      <c r="A4" s="270"/>
      <c r="B4" s="270"/>
      <c r="C4" s="270"/>
      <c r="D4" s="270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70"/>
      <c r="Y4" s="270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9" t="s">
        <v>1</v>
      </c>
      <c r="B18" s="269" t="s">
        <v>2</v>
      </c>
      <c r="C18" s="269" t="s">
        <v>3</v>
      </c>
      <c r="D18" s="269" t="s">
        <v>4</v>
      </c>
      <c r="E18" s="271" t="s">
        <v>5</v>
      </c>
      <c r="F18" s="270"/>
      <c r="G18" s="270"/>
      <c r="H18" s="270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69" t="s">
        <v>6</v>
      </c>
      <c r="Z18" s="269" t="s">
        <v>7</v>
      </c>
      <c r="AA18" s="209"/>
      <c r="AB18" s="114"/>
    </row>
    <row r="19" spans="1:29" ht="26.25" customHeight="1">
      <c r="A19" s="270"/>
      <c r="B19" s="270"/>
      <c r="C19" s="270"/>
      <c r="D19" s="270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70"/>
      <c r="Z19" s="270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3" t="s">
        <v>0</v>
      </c>
      <c r="B46" s="264"/>
      <c r="C46" s="26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3" t="s">
        <v>22</v>
      </c>
      <c r="B53" s="264"/>
      <c r="C53" s="26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6" t="s">
        <v>5</v>
      </c>
      <c r="F3" s="267"/>
      <c r="G3" s="267"/>
      <c r="H3" s="268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61" t="s">
        <v>6</v>
      </c>
      <c r="Y3" s="261" t="s">
        <v>7</v>
      </c>
      <c r="Z3" s="120"/>
      <c r="AA3" s="114"/>
      <c r="AB3" s="114"/>
    </row>
    <row r="4" spans="1:35" ht="27" customHeight="1">
      <c r="A4" s="262"/>
      <c r="B4" s="262"/>
      <c r="C4" s="262"/>
      <c r="D4" s="262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62"/>
      <c r="Y4" s="262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6" t="s">
        <v>5</v>
      </c>
      <c r="F18" s="267"/>
      <c r="G18" s="267"/>
      <c r="H18" s="268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61" t="s">
        <v>6</v>
      </c>
      <c r="Z18" s="261" t="s">
        <v>7</v>
      </c>
      <c r="AA18" s="120"/>
      <c r="AB18" s="114"/>
    </row>
    <row r="19" spans="1:29" ht="26.25" customHeight="1">
      <c r="A19" s="262"/>
      <c r="B19" s="262"/>
      <c r="C19" s="262"/>
      <c r="D19" s="262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62"/>
      <c r="Z19" s="262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3" t="s">
        <v>0</v>
      </c>
      <c r="B46" s="264"/>
      <c r="C46" s="265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3" t="s">
        <v>22</v>
      </c>
      <c r="B53" s="264"/>
      <c r="C53" s="26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6" t="s">
        <v>5</v>
      </c>
      <c r="F3" s="267"/>
      <c r="G3" s="267"/>
      <c r="H3" s="268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61" t="s">
        <v>6</v>
      </c>
      <c r="Y3" s="261" t="s">
        <v>7</v>
      </c>
      <c r="Z3" s="120"/>
      <c r="AA3" s="114"/>
      <c r="AB3" s="114"/>
    </row>
    <row r="4" spans="1:35" ht="27" customHeight="1">
      <c r="A4" s="262"/>
      <c r="B4" s="262"/>
      <c r="C4" s="262"/>
      <c r="D4" s="262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62"/>
      <c r="Y4" s="262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6" t="s">
        <v>5</v>
      </c>
      <c r="F18" s="267"/>
      <c r="G18" s="267"/>
      <c r="H18" s="268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61" t="s">
        <v>6</v>
      </c>
      <c r="Z18" s="261" t="s">
        <v>7</v>
      </c>
      <c r="AA18" s="120"/>
      <c r="AB18" s="114"/>
    </row>
    <row r="19" spans="1:29" ht="26.25" customHeight="1">
      <c r="A19" s="262"/>
      <c r="B19" s="262"/>
      <c r="C19" s="262"/>
      <c r="D19" s="262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62"/>
      <c r="Z19" s="262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3" t="s">
        <v>0</v>
      </c>
      <c r="B46" s="264"/>
      <c r="C46" s="265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3" t="s">
        <v>22</v>
      </c>
      <c r="B53" s="264"/>
      <c r="C53" s="26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72" t="s">
        <v>1</v>
      </c>
      <c r="B3" s="272" t="s">
        <v>2</v>
      </c>
      <c r="C3" s="272" t="s">
        <v>3</v>
      </c>
      <c r="D3" s="272" t="s">
        <v>4</v>
      </c>
      <c r="E3" s="277" t="s">
        <v>5</v>
      </c>
      <c r="F3" s="278"/>
      <c r="G3" s="278"/>
      <c r="H3" s="279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72" t="s">
        <v>6</v>
      </c>
      <c r="Y3" s="272" t="s">
        <v>7</v>
      </c>
      <c r="Z3" s="13"/>
      <c r="AA3" s="15"/>
      <c r="AB3" s="15"/>
    </row>
    <row r="4" spans="1:35" ht="26.25" customHeight="1">
      <c r="A4" s="273"/>
      <c r="B4" s="273"/>
      <c r="C4" s="273"/>
      <c r="D4" s="27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73"/>
      <c r="Y4" s="27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72" t="s">
        <v>1</v>
      </c>
      <c r="B19" s="272" t="s">
        <v>2</v>
      </c>
      <c r="C19" s="272" t="s">
        <v>3</v>
      </c>
      <c r="D19" s="272" t="s">
        <v>4</v>
      </c>
      <c r="E19" s="277" t="s">
        <v>5</v>
      </c>
      <c r="F19" s="278"/>
      <c r="G19" s="278"/>
      <c r="H19" s="279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72" t="s">
        <v>6</v>
      </c>
      <c r="Z19" s="272" t="s">
        <v>7</v>
      </c>
      <c r="AA19" s="13"/>
      <c r="AB19" s="15"/>
    </row>
    <row r="20" spans="1:35" ht="26.25" customHeight="1">
      <c r="A20" s="273"/>
      <c r="B20" s="273"/>
      <c r="C20" s="273"/>
      <c r="D20" s="27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73"/>
      <c r="Z20" s="27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4" t="s">
        <v>0</v>
      </c>
      <c r="B49" s="275"/>
      <c r="C49" s="27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4" t="s">
        <v>22</v>
      </c>
      <c r="B56" s="275"/>
      <c r="C56" s="27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72" t="s">
        <v>1</v>
      </c>
      <c r="B3" s="272" t="s">
        <v>2</v>
      </c>
      <c r="C3" s="272" t="s">
        <v>3</v>
      </c>
      <c r="D3" s="272" t="s">
        <v>4</v>
      </c>
      <c r="E3" s="277" t="s">
        <v>5</v>
      </c>
      <c r="F3" s="278"/>
      <c r="G3" s="278"/>
      <c r="H3" s="279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72" t="s">
        <v>6</v>
      </c>
      <c r="Y3" s="272" t="s">
        <v>7</v>
      </c>
      <c r="Z3" s="13"/>
      <c r="AA3" s="15"/>
      <c r="AB3" s="15"/>
    </row>
    <row r="4" spans="1:35" ht="26.25" customHeight="1">
      <c r="A4" s="273"/>
      <c r="B4" s="273"/>
      <c r="C4" s="273"/>
      <c r="D4" s="27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73"/>
      <c r="Y4" s="27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72" t="s">
        <v>1</v>
      </c>
      <c r="B19" s="272" t="s">
        <v>2</v>
      </c>
      <c r="C19" s="272" t="s">
        <v>3</v>
      </c>
      <c r="D19" s="272" t="s">
        <v>4</v>
      </c>
      <c r="E19" s="277" t="s">
        <v>5</v>
      </c>
      <c r="F19" s="278"/>
      <c r="G19" s="278"/>
      <c r="H19" s="279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72" t="s">
        <v>6</v>
      </c>
      <c r="Z19" s="272" t="s">
        <v>7</v>
      </c>
      <c r="AA19" s="13"/>
      <c r="AB19" s="15"/>
    </row>
    <row r="20" spans="1:35" ht="26.25" customHeight="1">
      <c r="A20" s="273"/>
      <c r="B20" s="273"/>
      <c r="C20" s="273"/>
      <c r="D20" s="27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73"/>
      <c r="Z20" s="27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4" t="s">
        <v>0</v>
      </c>
      <c r="B49" s="275"/>
      <c r="C49" s="27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4" t="s">
        <v>22</v>
      </c>
      <c r="B56" s="275"/>
      <c r="C56" s="27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72" t="s">
        <v>1</v>
      </c>
      <c r="B3" s="272" t="s">
        <v>2</v>
      </c>
      <c r="C3" s="272" t="s">
        <v>3</v>
      </c>
      <c r="D3" s="272" t="s">
        <v>4</v>
      </c>
      <c r="E3" s="277" t="s">
        <v>5</v>
      </c>
      <c r="F3" s="278"/>
      <c r="G3" s="278"/>
      <c r="H3" s="279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72" t="s">
        <v>6</v>
      </c>
      <c r="Y3" s="272" t="s">
        <v>7</v>
      </c>
      <c r="Z3" s="13"/>
      <c r="AA3" s="15"/>
      <c r="AB3" s="15"/>
    </row>
    <row r="4" spans="1:35" ht="26.25" customHeight="1">
      <c r="A4" s="273"/>
      <c r="B4" s="273"/>
      <c r="C4" s="273"/>
      <c r="D4" s="27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73"/>
      <c r="Y4" s="27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72" t="s">
        <v>1</v>
      </c>
      <c r="B19" s="272" t="s">
        <v>2</v>
      </c>
      <c r="C19" s="272" t="s">
        <v>3</v>
      </c>
      <c r="D19" s="272" t="s">
        <v>4</v>
      </c>
      <c r="E19" s="277" t="s">
        <v>5</v>
      </c>
      <c r="F19" s="278"/>
      <c r="G19" s="278"/>
      <c r="H19" s="279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72" t="s">
        <v>6</v>
      </c>
      <c r="Z19" s="272" t="s">
        <v>7</v>
      </c>
      <c r="AA19" s="13"/>
      <c r="AB19" s="15"/>
    </row>
    <row r="20" spans="1:35" ht="26.25" customHeight="1">
      <c r="A20" s="273"/>
      <c r="B20" s="273"/>
      <c r="C20" s="273"/>
      <c r="D20" s="27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73"/>
      <c r="Z20" s="27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4" t="s">
        <v>0</v>
      </c>
      <c r="B49" s="275"/>
      <c r="C49" s="27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4" t="s">
        <v>22</v>
      </c>
      <c r="B56" s="275"/>
      <c r="C56" s="27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72" t="s">
        <v>1</v>
      </c>
      <c r="B3" s="272" t="s">
        <v>2</v>
      </c>
      <c r="C3" s="272" t="s">
        <v>3</v>
      </c>
      <c r="D3" s="272" t="s">
        <v>4</v>
      </c>
      <c r="E3" s="277" t="s">
        <v>5</v>
      </c>
      <c r="F3" s="278"/>
      <c r="G3" s="278"/>
      <c r="H3" s="279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72" t="s">
        <v>6</v>
      </c>
      <c r="Y3" s="272" t="s">
        <v>7</v>
      </c>
      <c r="Z3" s="13"/>
      <c r="AA3" s="15"/>
      <c r="AB3" s="15"/>
    </row>
    <row r="4" spans="1:35" ht="26.25" customHeight="1">
      <c r="A4" s="273"/>
      <c r="B4" s="273"/>
      <c r="C4" s="273"/>
      <c r="D4" s="27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73"/>
      <c r="Y4" s="27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72" t="s">
        <v>1</v>
      </c>
      <c r="B19" s="272" t="s">
        <v>2</v>
      </c>
      <c r="C19" s="272" t="s">
        <v>3</v>
      </c>
      <c r="D19" s="272" t="s">
        <v>4</v>
      </c>
      <c r="E19" s="277" t="s">
        <v>5</v>
      </c>
      <c r="F19" s="278"/>
      <c r="G19" s="278"/>
      <c r="H19" s="279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72" t="s">
        <v>6</v>
      </c>
      <c r="Z19" s="272" t="s">
        <v>7</v>
      </c>
      <c r="AA19" s="13"/>
      <c r="AB19" s="15"/>
    </row>
    <row r="20" spans="1:35" ht="26.25" customHeight="1">
      <c r="A20" s="273"/>
      <c r="B20" s="273"/>
      <c r="C20" s="273"/>
      <c r="D20" s="27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73"/>
      <c r="Z20" s="27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4" t="s">
        <v>0</v>
      </c>
      <c r="B49" s="275"/>
      <c r="C49" s="27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4" t="s">
        <v>22</v>
      </c>
      <c r="B56" s="275"/>
      <c r="C56" s="27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72" t="s">
        <v>1</v>
      </c>
      <c r="B3" s="272" t="s">
        <v>2</v>
      </c>
      <c r="C3" s="272" t="s">
        <v>3</v>
      </c>
      <c r="D3" s="272" t="s">
        <v>4</v>
      </c>
      <c r="E3" s="277" t="s">
        <v>5</v>
      </c>
      <c r="F3" s="278"/>
      <c r="G3" s="278"/>
      <c r="H3" s="279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72" t="s">
        <v>6</v>
      </c>
      <c r="Y3" s="272" t="s">
        <v>7</v>
      </c>
      <c r="Z3" s="13"/>
      <c r="AA3" s="15"/>
      <c r="AB3" s="15"/>
    </row>
    <row r="4" spans="1:35" ht="26.25" customHeight="1">
      <c r="A4" s="273"/>
      <c r="B4" s="273"/>
      <c r="C4" s="273"/>
      <c r="D4" s="27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73"/>
      <c r="Y4" s="27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72" t="s">
        <v>1</v>
      </c>
      <c r="B19" s="272" t="s">
        <v>2</v>
      </c>
      <c r="C19" s="272" t="s">
        <v>3</v>
      </c>
      <c r="D19" s="272" t="s">
        <v>4</v>
      </c>
      <c r="E19" s="277" t="s">
        <v>5</v>
      </c>
      <c r="F19" s="278"/>
      <c r="G19" s="278"/>
      <c r="H19" s="279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72" t="s">
        <v>6</v>
      </c>
      <c r="Z19" s="272" t="s">
        <v>7</v>
      </c>
      <c r="AA19" s="13"/>
      <c r="AB19" s="15"/>
    </row>
    <row r="20" spans="1:35" ht="26.25" customHeight="1">
      <c r="A20" s="273"/>
      <c r="B20" s="273"/>
      <c r="C20" s="273"/>
      <c r="D20" s="27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73"/>
      <c r="Z20" s="27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4" t="s">
        <v>0</v>
      </c>
      <c r="B49" s="275"/>
      <c r="C49" s="27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4" t="s">
        <v>22</v>
      </c>
      <c r="B56" s="275"/>
      <c r="C56" s="27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72" t="s">
        <v>1</v>
      </c>
      <c r="B3" s="272" t="s">
        <v>2</v>
      </c>
      <c r="C3" s="272" t="s">
        <v>3</v>
      </c>
      <c r="D3" s="272" t="s">
        <v>4</v>
      </c>
      <c r="E3" s="277" t="s">
        <v>5</v>
      </c>
      <c r="F3" s="278"/>
      <c r="G3" s="278"/>
      <c r="H3" s="279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72" t="s">
        <v>6</v>
      </c>
      <c r="Y3" s="272" t="s">
        <v>7</v>
      </c>
      <c r="Z3" s="13"/>
      <c r="AA3" s="15"/>
      <c r="AB3" s="15"/>
    </row>
    <row r="4" spans="1:35" ht="26.25" customHeight="1">
      <c r="A4" s="273"/>
      <c r="B4" s="273"/>
      <c r="C4" s="273"/>
      <c r="D4" s="27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73"/>
      <c r="Y4" s="27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72" t="s">
        <v>1</v>
      </c>
      <c r="B19" s="272" t="s">
        <v>2</v>
      </c>
      <c r="C19" s="272" t="s">
        <v>3</v>
      </c>
      <c r="D19" s="272" t="s">
        <v>4</v>
      </c>
      <c r="E19" s="277" t="s">
        <v>5</v>
      </c>
      <c r="F19" s="278"/>
      <c r="G19" s="278"/>
      <c r="H19" s="279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72" t="s">
        <v>6</v>
      </c>
      <c r="Z19" s="272" t="s">
        <v>7</v>
      </c>
      <c r="AA19" s="13"/>
      <c r="AB19" s="15"/>
    </row>
    <row r="20" spans="1:35" ht="26.25" customHeight="1">
      <c r="A20" s="273"/>
      <c r="B20" s="273"/>
      <c r="C20" s="273"/>
      <c r="D20" s="27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73"/>
      <c r="Z20" s="27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4" t="s">
        <v>0</v>
      </c>
      <c r="B49" s="275"/>
      <c r="C49" s="27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4" t="s">
        <v>22</v>
      </c>
      <c r="B56" s="275"/>
      <c r="C56" s="27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72" t="s">
        <v>1</v>
      </c>
      <c r="B3" s="272" t="s">
        <v>2</v>
      </c>
      <c r="C3" s="272" t="s">
        <v>3</v>
      </c>
      <c r="D3" s="272" t="s">
        <v>4</v>
      </c>
      <c r="E3" s="277" t="s">
        <v>5</v>
      </c>
      <c r="F3" s="278"/>
      <c r="G3" s="278"/>
      <c r="H3" s="279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72" t="s">
        <v>6</v>
      </c>
      <c r="Y3" s="272" t="s">
        <v>7</v>
      </c>
      <c r="Z3" s="13"/>
      <c r="AA3" s="15"/>
      <c r="AB3" s="15"/>
    </row>
    <row r="4" spans="1:35" ht="26.25" customHeight="1">
      <c r="A4" s="273"/>
      <c r="B4" s="273"/>
      <c r="C4" s="273"/>
      <c r="D4" s="27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73"/>
      <c r="Y4" s="27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72" t="s">
        <v>1</v>
      </c>
      <c r="B19" s="272" t="s">
        <v>2</v>
      </c>
      <c r="C19" s="272" t="s">
        <v>3</v>
      </c>
      <c r="D19" s="272" t="s">
        <v>4</v>
      </c>
      <c r="E19" s="277" t="s">
        <v>5</v>
      </c>
      <c r="F19" s="278"/>
      <c r="G19" s="278"/>
      <c r="H19" s="279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72" t="s">
        <v>6</v>
      </c>
      <c r="Z19" s="272" t="s">
        <v>7</v>
      </c>
      <c r="AA19" s="13"/>
      <c r="AB19" s="15"/>
    </row>
    <row r="20" spans="1:35" ht="26.25" customHeight="1">
      <c r="A20" s="273"/>
      <c r="B20" s="273"/>
      <c r="C20" s="273"/>
      <c r="D20" s="27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73"/>
      <c r="Z20" s="27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4" t="s">
        <v>0</v>
      </c>
      <c r="B49" s="275"/>
      <c r="C49" s="27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4" t="s">
        <v>22</v>
      </c>
      <c r="B56" s="275"/>
      <c r="C56" s="27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72" t="s">
        <v>1</v>
      </c>
      <c r="B3" s="272" t="s">
        <v>2</v>
      </c>
      <c r="C3" s="272" t="s">
        <v>3</v>
      </c>
      <c r="D3" s="272" t="s">
        <v>4</v>
      </c>
      <c r="E3" s="277" t="s">
        <v>5</v>
      </c>
      <c r="F3" s="278"/>
      <c r="G3" s="278"/>
      <c r="H3" s="279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72" t="s">
        <v>6</v>
      </c>
      <c r="Y3" s="272" t="s">
        <v>7</v>
      </c>
      <c r="Z3" s="13"/>
      <c r="AA3" s="15"/>
      <c r="AB3" s="15"/>
    </row>
    <row r="4" spans="1:35" ht="26.25" customHeight="1">
      <c r="A4" s="273"/>
      <c r="B4" s="273"/>
      <c r="C4" s="273"/>
      <c r="D4" s="27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73"/>
      <c r="Y4" s="27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72" t="s">
        <v>1</v>
      </c>
      <c r="B19" s="272" t="s">
        <v>2</v>
      </c>
      <c r="C19" s="272" t="s">
        <v>3</v>
      </c>
      <c r="D19" s="272" t="s">
        <v>4</v>
      </c>
      <c r="E19" s="277" t="s">
        <v>5</v>
      </c>
      <c r="F19" s="278"/>
      <c r="G19" s="278"/>
      <c r="H19" s="279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72" t="s">
        <v>6</v>
      </c>
      <c r="Z19" s="272" t="s">
        <v>7</v>
      </c>
      <c r="AA19" s="13"/>
      <c r="AB19" s="15"/>
    </row>
    <row r="20" spans="1:35" ht="26.25" customHeight="1">
      <c r="A20" s="273"/>
      <c r="B20" s="273"/>
      <c r="C20" s="273"/>
      <c r="D20" s="27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73"/>
      <c r="Z20" s="27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4" t="s">
        <v>0</v>
      </c>
      <c r="B49" s="275"/>
      <c r="C49" s="27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4" t="s">
        <v>22</v>
      </c>
      <c r="B56" s="275"/>
      <c r="C56" s="27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72" t="s">
        <v>1</v>
      </c>
      <c r="B3" s="272" t="s">
        <v>2</v>
      </c>
      <c r="C3" s="272" t="s">
        <v>3</v>
      </c>
      <c r="D3" s="272" t="s">
        <v>4</v>
      </c>
      <c r="E3" s="277" t="s">
        <v>5</v>
      </c>
      <c r="F3" s="278"/>
      <c r="G3" s="278"/>
      <c r="H3" s="279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72" t="s">
        <v>6</v>
      </c>
      <c r="Y3" s="272" t="s">
        <v>7</v>
      </c>
      <c r="Z3" s="13"/>
      <c r="AA3" s="15"/>
      <c r="AB3" s="15"/>
    </row>
    <row r="4" spans="1:35" ht="26.25" customHeight="1">
      <c r="A4" s="273"/>
      <c r="B4" s="273"/>
      <c r="C4" s="273"/>
      <c r="D4" s="27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73"/>
      <c r="Y4" s="27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72" t="s">
        <v>1</v>
      </c>
      <c r="B19" s="272" t="s">
        <v>2</v>
      </c>
      <c r="C19" s="272" t="s">
        <v>3</v>
      </c>
      <c r="D19" s="272" t="s">
        <v>4</v>
      </c>
      <c r="E19" s="277" t="s">
        <v>5</v>
      </c>
      <c r="F19" s="278"/>
      <c r="G19" s="278"/>
      <c r="H19" s="279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72" t="s">
        <v>6</v>
      </c>
      <c r="Z19" s="272" t="s">
        <v>7</v>
      </c>
      <c r="AA19" s="13"/>
      <c r="AB19" s="15"/>
    </row>
    <row r="20" spans="1:35" ht="26.25" customHeight="1">
      <c r="A20" s="273"/>
      <c r="B20" s="273"/>
      <c r="C20" s="273"/>
      <c r="D20" s="27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73"/>
      <c r="Z20" s="27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4" t="s">
        <v>0</v>
      </c>
      <c r="B49" s="275"/>
      <c r="C49" s="27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4" t="s">
        <v>22</v>
      </c>
      <c r="B56" s="275"/>
      <c r="C56" s="27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72" t="s">
        <v>1</v>
      </c>
      <c r="B3" s="272" t="s">
        <v>2</v>
      </c>
      <c r="C3" s="272" t="s">
        <v>3</v>
      </c>
      <c r="D3" s="272" t="s">
        <v>4</v>
      </c>
      <c r="E3" s="277" t="s">
        <v>5</v>
      </c>
      <c r="F3" s="278"/>
      <c r="G3" s="278"/>
      <c r="H3" s="279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72" t="s">
        <v>6</v>
      </c>
      <c r="Y3" s="272" t="s">
        <v>7</v>
      </c>
      <c r="Z3" s="13"/>
      <c r="AA3" s="15"/>
      <c r="AB3" s="15"/>
    </row>
    <row r="4" spans="1:35" ht="26.25" customHeight="1">
      <c r="A4" s="273"/>
      <c r="B4" s="273"/>
      <c r="C4" s="273"/>
      <c r="D4" s="27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73"/>
      <c r="Y4" s="27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72" t="s">
        <v>1</v>
      </c>
      <c r="B19" s="272" t="s">
        <v>2</v>
      </c>
      <c r="C19" s="272" t="s">
        <v>3</v>
      </c>
      <c r="D19" s="272" t="s">
        <v>4</v>
      </c>
      <c r="E19" s="277" t="s">
        <v>5</v>
      </c>
      <c r="F19" s="278"/>
      <c r="G19" s="278"/>
      <c r="H19" s="279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72" t="s">
        <v>6</v>
      </c>
      <c r="Z19" s="272" t="s">
        <v>7</v>
      </c>
      <c r="AA19" s="13"/>
      <c r="AB19" s="15"/>
    </row>
    <row r="20" spans="1:35" ht="26.25" customHeight="1">
      <c r="A20" s="273"/>
      <c r="B20" s="273"/>
      <c r="C20" s="273"/>
      <c r="D20" s="27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73"/>
      <c r="Z20" s="27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4" t="s">
        <v>0</v>
      </c>
      <c r="B49" s="275"/>
      <c r="C49" s="27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4" t="s">
        <v>22</v>
      </c>
      <c r="B56" s="275"/>
      <c r="C56" s="27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72" t="s">
        <v>1</v>
      </c>
      <c r="B3" s="272" t="s">
        <v>2</v>
      </c>
      <c r="C3" s="272" t="s">
        <v>3</v>
      </c>
      <c r="D3" s="272" t="s">
        <v>4</v>
      </c>
      <c r="E3" s="277" t="s">
        <v>5</v>
      </c>
      <c r="F3" s="278"/>
      <c r="G3" s="278"/>
      <c r="H3" s="279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72" t="s">
        <v>6</v>
      </c>
      <c r="Y3" s="272" t="s">
        <v>7</v>
      </c>
      <c r="Z3" s="13"/>
      <c r="AA3" s="15"/>
      <c r="AB3" s="15"/>
    </row>
    <row r="4" spans="1:35" ht="26.25" customHeight="1">
      <c r="A4" s="273"/>
      <c r="B4" s="273"/>
      <c r="C4" s="273"/>
      <c r="D4" s="27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73"/>
      <c r="Y4" s="27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72" t="s">
        <v>1</v>
      </c>
      <c r="B19" s="272" t="s">
        <v>2</v>
      </c>
      <c r="C19" s="272" t="s">
        <v>3</v>
      </c>
      <c r="D19" s="272" t="s">
        <v>4</v>
      </c>
      <c r="E19" s="277" t="s">
        <v>5</v>
      </c>
      <c r="F19" s="278"/>
      <c r="G19" s="278"/>
      <c r="H19" s="279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72" t="s">
        <v>6</v>
      </c>
      <c r="Z19" s="272" t="s">
        <v>7</v>
      </c>
      <c r="AA19" s="13"/>
      <c r="AB19" s="15"/>
    </row>
    <row r="20" spans="1:35" ht="26.25" customHeight="1">
      <c r="A20" s="273"/>
      <c r="B20" s="273"/>
      <c r="C20" s="273"/>
      <c r="D20" s="27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73"/>
      <c r="Z20" s="27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4" t="s">
        <v>0</v>
      </c>
      <c r="B49" s="275"/>
      <c r="C49" s="27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4" t="s">
        <v>22</v>
      </c>
      <c r="B56" s="275"/>
      <c r="C56" s="27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72" t="s">
        <v>1</v>
      </c>
      <c r="B3" s="272" t="s">
        <v>2</v>
      </c>
      <c r="C3" s="272" t="s">
        <v>3</v>
      </c>
      <c r="D3" s="272" t="s">
        <v>4</v>
      </c>
      <c r="E3" s="277" t="s">
        <v>5</v>
      </c>
      <c r="F3" s="278"/>
      <c r="G3" s="278"/>
      <c r="H3" s="279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72" t="s">
        <v>6</v>
      </c>
      <c r="Y3" s="272" t="s">
        <v>7</v>
      </c>
      <c r="Z3" s="13"/>
      <c r="AA3" s="15"/>
      <c r="AB3" s="15"/>
    </row>
    <row r="4" spans="1:35" ht="26.25" customHeight="1">
      <c r="A4" s="273"/>
      <c r="B4" s="273"/>
      <c r="C4" s="273"/>
      <c r="D4" s="27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73"/>
      <c r="Y4" s="27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72" t="s">
        <v>1</v>
      </c>
      <c r="B19" s="272" t="s">
        <v>2</v>
      </c>
      <c r="C19" s="272" t="s">
        <v>3</v>
      </c>
      <c r="D19" s="272" t="s">
        <v>4</v>
      </c>
      <c r="E19" s="277" t="s">
        <v>5</v>
      </c>
      <c r="F19" s="278"/>
      <c r="G19" s="278"/>
      <c r="H19" s="279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72" t="s">
        <v>6</v>
      </c>
      <c r="Z19" s="272" t="s">
        <v>7</v>
      </c>
      <c r="AA19" s="13"/>
      <c r="AB19" s="15"/>
    </row>
    <row r="20" spans="1:35" ht="26.25" customHeight="1">
      <c r="A20" s="273"/>
      <c r="B20" s="273"/>
      <c r="C20" s="273"/>
      <c r="D20" s="27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73"/>
      <c r="Z20" s="27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4" t="s">
        <v>0</v>
      </c>
      <c r="B49" s="275"/>
      <c r="C49" s="27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4" t="s">
        <v>22</v>
      </c>
      <c r="B56" s="275"/>
      <c r="C56" s="27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JUNE'25</vt:lpstr>
      <vt:lpstr>SEPTEMBER'25</vt:lpstr>
      <vt:lpstr>OCTOBER'25</vt:lpstr>
      <vt:lpstr>NOVEMBER'25 (2)</vt:lpstr>
      <vt:lpstr>NOV'25</vt:lpstr>
      <vt:lpstr>Dec'25</vt:lpstr>
      <vt:lpstr>Jan'26</vt:lpstr>
      <vt:lpstr>Feb'26</vt:lpstr>
      <vt:lpstr>Mar'26</vt:lpstr>
      <vt:lpstr>Arp'26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Tapan Kumar</dc:creator>
  <cp:keywords/>
  <dc:description/>
  <cp:lastModifiedBy>Tapan Kumar</cp:lastModifiedBy>
  <cp:revision/>
  <dcterms:created xsi:type="dcterms:W3CDTF">2025-03-26T11:28:04Z</dcterms:created>
  <dcterms:modified xsi:type="dcterms:W3CDTF">2026-05-19T07:47:50Z</dcterms:modified>
  <cp:category/>
  <cp:contentStatus/>
</cp:coreProperties>
</file>