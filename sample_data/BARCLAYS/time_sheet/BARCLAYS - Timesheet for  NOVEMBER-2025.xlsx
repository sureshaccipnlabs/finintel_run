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BARCLAYS\TimeSheets\"/>
    </mc:Choice>
  </mc:AlternateContent>
  <xr:revisionPtr revIDLastSave="0" documentId="13_ncr:1_{5218EF26-0575-4185-9C41-6CD4AED1DBBB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DEC 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3" l="1"/>
  <c r="D43" i="23"/>
  <c r="D44" i="23"/>
  <c r="D45" i="23"/>
  <c r="D46" i="23"/>
  <c r="C42" i="23"/>
  <c r="C43" i="23"/>
  <c r="C44" i="23"/>
  <c r="C45" i="23"/>
  <c r="C46" i="23"/>
  <c r="B42" i="23"/>
  <c r="B43" i="23"/>
  <c r="B44" i="23"/>
  <c r="B45" i="23"/>
  <c r="B46" i="23"/>
  <c r="B59" i="23"/>
  <c r="C58" i="23"/>
  <c r="C57" i="23"/>
  <c r="B52" i="23"/>
  <c r="C51" i="23"/>
  <c r="C50" i="23"/>
  <c r="C52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6" i="23"/>
  <c r="F26" i="23" s="1"/>
  <c r="E26" i="23"/>
  <c r="D26" i="23" s="1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0" i="23"/>
  <c r="F10" i="23" s="1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F16" i="23" l="1"/>
  <c r="F32" i="23"/>
  <c r="C39" i="23"/>
  <c r="B37" i="23"/>
  <c r="D37" i="23" s="1"/>
  <c r="B41" i="23"/>
  <c r="D41" i="23" s="1"/>
  <c r="C41" i="23"/>
  <c r="C38" i="23"/>
  <c r="B38" i="23"/>
  <c r="D38" i="23" s="1"/>
  <c r="B40" i="23"/>
  <c r="D40" i="23" s="1"/>
  <c r="C59" i="23"/>
  <c r="C61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V19" i="23" s="1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W19" i="23" l="1"/>
  <c r="W20" i="23" s="1"/>
  <c r="V20" i="23"/>
  <c r="U20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<sst xmlns="http://schemas.openxmlformats.org/spreadsheetml/2006/main" count="1902" uniqueCount="48">
  <si>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</si>
  <si>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</si>
  <si>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</si>
  <si>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</si>
  <si>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</si>
  <si>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</si>
  <si>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</si>
  <si>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</si>
  <si>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</si>
  <si>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</si>
  <si>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</si>
  <si>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</si>
  <si>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</si>
  <si>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</si>
  <si>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</si>
  <si>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</si>
  <si>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</si>
  <si>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</si>
  <si>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</si>
  <si>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</si>
  <si>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</si>
  <si>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</si>
  <si>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</si>
  <si>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</si>
  <si>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</si>
  <si>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</si>
  <si>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</si>
  <si>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</si>
  <si>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</si>
  <si>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</si>
  <si>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</si>
  <si>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</si>
  <si>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</si>
  <si>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</si>
  <si>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</si>
  <si>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</si>
  <si>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</si>
  <si>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</si>
  <si>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</si>
  <si>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</si>
  <si>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Alex</t>
  </si>
  <si>
    <t>Roger</t>
  </si>
  <si>
    <t>Sandeep</t>
  </si>
  <si>
    <t>Kyle</t>
  </si>
  <si>
    <t>Steve</t>
  </si>
  <si>
    <t>Ricardo</t>
  </si>
  <si>
    <t>George</t>
  </si>
  <si>
    <t>BARCLAYS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</si>
</sst>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1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b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9"/>
  <sheetViews>
    <sheetView showGridLines="0" tabSelected="1" topLeftCell="A21" workbookViewId="0">
      <pane xSplit="2" topLeftCell="C1" activePane="topRight" state="frozen"/>
      <selection pane="topRight" activeCell="J40" sqref="J4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1" t="s">
        <v>6</v>
      </c>
      <c r="Y3" s="261" t="s">
        <v>7</v>
      </c>
      <c r="Z3" s="209"/>
      <c r="AA3" s="210"/>
      <c r="AB3" s="114"/>
    </row>
    <row r="4" spans="1:33" ht="27" customHeight="1" thickBo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40</v>
      </c>
      <c r="B5" s="132" t="s">
        <v>47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39</v>
      </c>
      <c r="J5" s="245" t="s">
        <v>39</v>
      </c>
      <c r="K5" s="183">
        <v>8</v>
      </c>
      <c r="L5" s="183">
        <v>8</v>
      </c>
      <c r="M5" s="183">
        <v>8</v>
      </c>
      <c r="N5" s="140">
        <v>8</v>
      </c>
      <c r="O5" s="140">
        <v>8</v>
      </c>
      <c r="P5" s="245" t="s">
        <v>39</v>
      </c>
      <c r="Q5" s="245" t="s">
        <v>39</v>
      </c>
      <c r="R5" s="207">
        <v>8</v>
      </c>
      <c r="S5" s="183">
        <v>8</v>
      </c>
      <c r="T5" s="207">
        <v>8</v>
      </c>
      <c r="U5" s="140">
        <v>8</v>
      </c>
      <c r="V5" s="140">
        <v>8</v>
      </c>
      <c r="W5" s="245" t="s">
        <v>39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47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39</v>
      </c>
      <c r="J6" s="245" t="s">
        <v>39</v>
      </c>
      <c r="K6" s="183">
        <v>8</v>
      </c>
      <c r="L6" s="183">
        <v>8</v>
      </c>
      <c r="M6" s="183">
        <v>8</v>
      </c>
      <c r="N6" s="140">
        <v>8</v>
      </c>
      <c r="O6" s="140">
        <v>8</v>
      </c>
      <c r="P6" s="245" t="s">
        <v>39</v>
      </c>
      <c r="Q6" s="245" t="s">
        <v>39</v>
      </c>
      <c r="R6" s="183">
        <v>8</v>
      </c>
      <c r="S6" s="183">
        <v>8</v>
      </c>
      <c r="T6" s="183">
        <v>8</v>
      </c>
      <c r="U6" s="140">
        <v>8</v>
      </c>
      <c r="V6" s="140">
        <v>8</v>
      </c>
      <c r="W6" s="245" t="s">
        <v>39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42</v>
      </c>
      <c r="B7" s="132" t="s">
        <v>47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45" t="s">
        <v>39</v>
      </c>
      <c r="J7" s="245" t="s">
        <v>39</v>
      </c>
      <c r="K7" s="183">
        <v>8</v>
      </c>
      <c r="L7" s="183">
        <v>8</v>
      </c>
      <c r="M7" s="183">
        <v>8</v>
      </c>
      <c r="N7" s="140">
        <v>8</v>
      </c>
      <c r="O7" s="140">
        <v>8</v>
      </c>
      <c r="P7" s="245" t="s">
        <v>39</v>
      </c>
      <c r="Q7" s="245" t="s">
        <v>39</v>
      </c>
      <c r="R7" s="183">
        <v>8</v>
      </c>
      <c r="S7" s="183">
        <v>8</v>
      </c>
      <c r="T7" s="236"/>
      <c r="U7" s="140">
        <v>8</v>
      </c>
      <c r="V7" s="140">
        <v>8</v>
      </c>
      <c r="W7" s="245" t="s">
        <v>39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43</v>
      </c>
      <c r="B8" s="132" t="s">
        <v>47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39</v>
      </c>
      <c r="J8" s="245" t="s">
        <v>39</v>
      </c>
      <c r="K8" s="243">
        <v>8</v>
      </c>
      <c r="L8" s="183">
        <v>8</v>
      </c>
      <c r="M8" s="243">
        <v>8</v>
      </c>
      <c r="N8" s="140">
        <v>8</v>
      </c>
      <c r="O8" s="140">
        <v>8</v>
      </c>
      <c r="P8" s="245" t="s">
        <v>39</v>
      </c>
      <c r="Q8" s="245" t="s">
        <v>39</v>
      </c>
      <c r="R8" s="183">
        <v>8</v>
      </c>
      <c r="S8" s="183">
        <v>8</v>
      </c>
      <c r="T8" s="183">
        <v>8</v>
      </c>
      <c r="U8" s="140">
        <v>8</v>
      </c>
      <c r="V8" s="140">
        <v>8</v>
      </c>
      <c r="W8" s="245" t="s">
        <v>39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44</v>
      </c>
      <c r="B9" s="132" t="s">
        <v>47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39</v>
      </c>
      <c r="J9" s="245" t="s">
        <v>39</v>
      </c>
      <c r="K9" s="183">
        <v>8</v>
      </c>
      <c r="L9" s="241">
        <v>8</v>
      </c>
      <c r="M9" s="183">
        <v>8</v>
      </c>
      <c r="N9" s="140">
        <v>8</v>
      </c>
      <c r="O9" s="140">
        <v>8</v>
      </c>
      <c r="P9" s="245" t="s">
        <v>39</v>
      </c>
      <c r="Q9" s="245" t="s">
        <v>39</v>
      </c>
      <c r="R9" s="183">
        <v>8</v>
      </c>
      <c r="S9" s="183">
        <v>8</v>
      </c>
      <c r="T9" s="183">
        <v>8</v>
      </c>
      <c r="U9" s="140">
        <v>8</v>
      </c>
      <c r="V9" s="140">
        <v>8</v>
      </c>
      <c r="W9" s="245" t="s">
        <v>39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45</v>
      </c>
      <c r="B10" s="132" t="s">
        <v>47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39</v>
      </c>
      <c r="J10" s="245" t="s">
        <v>39</v>
      </c>
      <c r="K10" s="241">
        <v>8</v>
      </c>
      <c r="L10" s="241">
        <v>8</v>
      </c>
      <c r="M10" s="241">
        <v>8</v>
      </c>
      <c r="N10" s="140">
        <v>8</v>
      </c>
      <c r="O10" s="140">
        <v>8</v>
      </c>
      <c r="P10" s="245" t="s">
        <v>39</v>
      </c>
      <c r="Q10" s="245" t="s">
        <v>39</v>
      </c>
      <c r="R10" s="241">
        <v>8</v>
      </c>
      <c r="S10" s="241">
        <v>8</v>
      </c>
      <c r="T10" s="241">
        <v>8</v>
      </c>
      <c r="U10" s="140">
        <v>8</v>
      </c>
      <c r="V10" s="140">
        <v>8</v>
      </c>
      <c r="W10" s="245" t="s">
        <v>39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47</v>
      </c>
      <c r="C11" s="138">
        <v>45629</v>
      </c>
      <c r="D11" s="140"/>
      <c r="E11" s="140"/>
      <c r="F11" s="140"/>
      <c r="G11" s="140"/>
      <c r="H11" s="135">
        <v>0</v>
      </c>
      <c r="I11" s="245" t="s">
        <v>39</v>
      </c>
      <c r="J11" s="245" t="s">
        <v>39</v>
      </c>
      <c r="K11" s="140"/>
      <c r="L11" s="140"/>
      <c r="M11" s="140"/>
      <c r="N11" s="140"/>
      <c r="O11" s="140"/>
      <c r="P11" s="245" t="s">
        <v>39</v>
      </c>
      <c r="Q11" s="245" t="s">
        <v>39</v>
      </c>
      <c r="R11" s="140"/>
      <c r="S11" s="140"/>
      <c r="T11" s="140"/>
      <c r="U11" s="140"/>
      <c r="V11" s="140"/>
      <c r="W11" s="245" t="s">
        <v>39</v>
      </c>
      <c r="X11" s="134">
        <f t="shared" ref="X11:X14" si="6">Y11-COUNTA(I11:W11)</f>
        <v>5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47</v>
      </c>
      <c r="C12" s="138">
        <v>45630</v>
      </c>
      <c r="D12" s="140"/>
      <c r="E12" s="140"/>
      <c r="F12" s="140"/>
      <c r="G12" s="140"/>
      <c r="H12" s="135">
        <v>0</v>
      </c>
      <c r="I12" s="245" t="s">
        <v>39</v>
      </c>
      <c r="J12" s="245" t="s">
        <v>39</v>
      </c>
      <c r="K12" s="140"/>
      <c r="L12" s="140"/>
      <c r="M12" s="140"/>
      <c r="N12" s="140"/>
      <c r="O12" s="140"/>
      <c r="P12" s="245" t="s">
        <v>39</v>
      </c>
      <c r="Q12" s="245" t="s">
        <v>39</v>
      </c>
      <c r="R12" s="140"/>
      <c r="S12" s="140"/>
      <c r="T12" s="140"/>
      <c r="U12" s="140"/>
      <c r="V12" s="140"/>
      <c r="W12" s="245" t="s">
        <v>39</v>
      </c>
      <c r="X12" s="134">
        <f t="shared" si="6"/>
        <v>5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47</v>
      </c>
      <c r="C13" s="138">
        <v>45631</v>
      </c>
      <c r="D13" s="140"/>
      <c r="E13" s="140"/>
      <c r="F13" s="140"/>
      <c r="G13" s="140"/>
      <c r="H13" s="135">
        <v>0</v>
      </c>
      <c r="I13" s="245" t="s">
        <v>39</v>
      </c>
      <c r="J13" s="245" t="s">
        <v>39</v>
      </c>
      <c r="K13" s="140"/>
      <c r="L13" s="140"/>
      <c r="M13" s="140"/>
      <c r="N13" s="140"/>
      <c r="O13" s="140"/>
      <c r="P13" s="245" t="s">
        <v>39</v>
      </c>
      <c r="Q13" s="245" t="s">
        <v>39</v>
      </c>
      <c r="R13" s="140"/>
      <c r="S13" s="140"/>
      <c r="T13" s="140"/>
      <c r="U13" s="140"/>
      <c r="V13" s="140"/>
      <c r="W13" s="245" t="s">
        <v>39</v>
      </c>
      <c r="X13" s="134">
        <f t="shared" si="6"/>
        <v>5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47</v>
      </c>
      <c r="C14" s="138">
        <v>45632</v>
      </c>
      <c r="D14" s="140"/>
      <c r="E14" s="140"/>
      <c r="F14" s="140"/>
      <c r="G14" s="140"/>
      <c r="H14" s="135">
        <v>0</v>
      </c>
      <c r="I14" s="245" t="s">
        <v>39</v>
      </c>
      <c r="J14" s="245" t="s">
        <v>39</v>
      </c>
      <c r="K14" s="140"/>
      <c r="L14" s="140"/>
      <c r="M14" s="140"/>
      <c r="N14" s="140"/>
      <c r="O14" s="140"/>
      <c r="P14" s="245" t="s">
        <v>39</v>
      </c>
      <c r="Q14" s="245" t="s">
        <v>39</v>
      </c>
      <c r="R14" s="140"/>
      <c r="S14" s="140"/>
      <c r="T14" s="140"/>
      <c r="U14" s="140"/>
      <c r="V14" s="140"/>
      <c r="W14" s="245" t="s">
        <v>39</v>
      </c>
      <c r="X14" s="134">
        <f t="shared" si="6"/>
        <v>5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46</v>
      </c>
      <c r="B15" s="132" t="s">
        <v>47</v>
      </c>
      <c r="C15" s="138">
        <v>45633</v>
      </c>
      <c r="D15" s="251">
        <v>80</v>
      </c>
      <c r="E15" s="251">
        <v>80</v>
      </c>
      <c r="F15" s="251">
        <v>80</v>
      </c>
      <c r="G15" s="251">
        <v>80</v>
      </c>
      <c r="H15" s="135">
        <v>0</v>
      </c>
      <c r="I15" s="245" t="s">
        <v>39</v>
      </c>
      <c r="J15" s="245" t="s">
        <v>39</v>
      </c>
      <c r="K15" s="140">
        <v>8</v>
      </c>
      <c r="L15" s="140">
        <v>8</v>
      </c>
      <c r="M15" s="140">
        <v>8</v>
      </c>
      <c r="N15" s="140">
        <v>8</v>
      </c>
      <c r="O15" s="140">
        <v>8</v>
      </c>
      <c r="P15" s="245" t="s">
        <v>39</v>
      </c>
      <c r="Q15" s="245" t="s">
        <v>39</v>
      </c>
      <c r="R15" s="140">
        <v>8</v>
      </c>
      <c r="S15" s="140">
        <v>8</v>
      </c>
      <c r="T15" s="140">
        <v>8</v>
      </c>
      <c r="U15" s="140">
        <v>8</v>
      </c>
      <c r="V15" s="140">
        <v>8</v>
      </c>
      <c r="W15" s="245" t="s">
        <v>39</v>
      </c>
      <c r="X15" s="134"/>
      <c r="Y15" s="135"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472</v>
      </c>
      <c r="G16" s="224">
        <f t="shared" si="8"/>
        <v>472</v>
      </c>
      <c r="H16" s="224">
        <f t="shared" si="8"/>
        <v>0</v>
      </c>
      <c r="I16" s="224">
        <f t="shared" si="8"/>
        <v>0</v>
      </c>
      <c r="J16" s="224">
        <f t="shared" si="8"/>
        <v>0</v>
      </c>
      <c r="K16" s="224">
        <f t="shared" si="8"/>
        <v>48</v>
      </c>
      <c r="L16" s="224">
        <f t="shared" si="8"/>
        <v>48</v>
      </c>
      <c r="M16" s="224">
        <f t="shared" si="8"/>
        <v>48</v>
      </c>
      <c r="N16" s="224">
        <f t="shared" si="8"/>
        <v>48</v>
      </c>
      <c r="O16" s="224">
        <f t="shared" si="8"/>
        <v>48</v>
      </c>
      <c r="P16" s="224">
        <f t="shared" si="8"/>
        <v>0</v>
      </c>
      <c r="Q16" s="224">
        <f t="shared" si="8"/>
        <v>0</v>
      </c>
      <c r="R16" s="224">
        <f t="shared" si="8"/>
        <v>48</v>
      </c>
      <c r="S16" s="224">
        <f t="shared" si="8"/>
        <v>48</v>
      </c>
      <c r="T16" s="224">
        <f t="shared" si="8"/>
        <v>40</v>
      </c>
      <c r="U16" s="224">
        <f t="shared" si="8"/>
        <v>48</v>
      </c>
      <c r="V16" s="224">
        <f t="shared" si="8"/>
        <v>48</v>
      </c>
      <c r="W16" s="224">
        <f t="shared" si="8"/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1" t="s">
        <v>1</v>
      </c>
      <c r="B19" s="261" t="s">
        <v>2</v>
      </c>
      <c r="C19" s="261" t="s">
        <v>3</v>
      </c>
      <c r="D19" s="261" t="s">
        <v>4</v>
      </c>
      <c r="E19" s="263" t="s">
        <v>5</v>
      </c>
      <c r="F19" s="262"/>
      <c r="G19" s="262"/>
      <c r="H19" s="262"/>
      <c r="I19" s="141">
        <f>W3+1</f>
        <v>45977</v>
      </c>
      <c r="J19" s="141">
        <f t="shared" ref="J19:U19" si="9">I19+1</f>
        <v>45978</v>
      </c>
      <c r="K19" s="141">
        <f t="shared" si="9"/>
        <v>45979</v>
      </c>
      <c r="L19" s="141">
        <f t="shared" si="9"/>
        <v>45980</v>
      </c>
      <c r="M19" s="141">
        <f t="shared" si="9"/>
        <v>45981</v>
      </c>
      <c r="N19" s="141">
        <f t="shared" si="9"/>
        <v>45982</v>
      </c>
      <c r="O19" s="141">
        <f t="shared" si="9"/>
        <v>45983</v>
      </c>
      <c r="P19" s="141">
        <f t="shared" si="9"/>
        <v>45984</v>
      </c>
      <c r="Q19" s="141">
        <f t="shared" si="9"/>
        <v>45985</v>
      </c>
      <c r="R19" s="141">
        <f t="shared" si="9"/>
        <v>45986</v>
      </c>
      <c r="S19" s="141">
        <f t="shared" si="9"/>
        <v>45987</v>
      </c>
      <c r="T19" s="141">
        <f t="shared" si="9"/>
        <v>45988</v>
      </c>
      <c r="U19" s="141">
        <f t="shared" si="9"/>
        <v>45989</v>
      </c>
      <c r="V19" s="141">
        <f>U19+1</f>
        <v>45990</v>
      </c>
      <c r="W19" s="141">
        <f>V19+1</f>
        <v>45991</v>
      </c>
      <c r="X19" s="141"/>
      <c r="Y19" s="261" t="s">
        <v>6</v>
      </c>
      <c r="Z19" s="261" t="s">
        <v>7</v>
      </c>
      <c r="AA19" s="209"/>
      <c r="AB19" s="114"/>
    </row>
    <row r="20" spans="1:35" ht="26.25" customHeight="1">
      <c r="A20" s="262"/>
      <c r="B20" s="262"/>
      <c r="C20" s="262"/>
      <c r="D20" s="262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0">IF(I19="","",TEXT(WEEKDAY(I19), "ddd"))</f>
        <v>Sun</v>
      </c>
      <c r="J20" s="222" t="str">
        <f t="shared" si="10"/>
        <v>Mon</v>
      </c>
      <c r="K20" s="222" t="str">
        <f t="shared" si="10"/>
        <v>Tue</v>
      </c>
      <c r="L20" s="222" t="str">
        <f t="shared" si="10"/>
        <v>Wed</v>
      </c>
      <c r="M20" s="222" t="str">
        <f t="shared" si="10"/>
        <v>Thu</v>
      </c>
      <c r="N20" s="222" t="str">
        <f t="shared" si="10"/>
        <v>Fri</v>
      </c>
      <c r="O20" s="222" t="str">
        <f t="shared" si="10"/>
        <v>Sat</v>
      </c>
      <c r="P20" s="127" t="str">
        <f t="shared" si="10"/>
        <v>Sun</v>
      </c>
      <c r="Q20" s="127" t="str">
        <f t="shared" si="10"/>
        <v>Mon</v>
      </c>
      <c r="R20" s="222" t="str">
        <f t="shared" si="10"/>
        <v>Tue</v>
      </c>
      <c r="S20" s="222" t="str">
        <f t="shared" si="10"/>
        <v>Wed</v>
      </c>
      <c r="T20" s="222" t="str">
        <f t="shared" si="10"/>
        <v>Thu</v>
      </c>
      <c r="U20" s="222" t="str">
        <f t="shared" si="10"/>
        <v>Fri</v>
      </c>
      <c r="V20" s="222" t="str">
        <f t="shared" ref="V20:W20" si="11">IF(V19="","",TEXT(WEEKDAY(V19), "ddd"))</f>
        <v>Sat</v>
      </c>
      <c r="W20" s="127" t="str">
        <f t="shared" si="11"/>
        <v>Sun</v>
      </c>
      <c r="X20" s="222"/>
      <c r="Y20" s="262"/>
      <c r="Z20" s="262"/>
      <c r="AA20" s="209"/>
      <c r="AB20" s="114"/>
    </row>
    <row r="21" spans="1:35" ht="12.75" customHeight="1">
      <c r="A21" s="131" t="s">
        <v>40</v>
      </c>
      <c r="B21" s="132" t="s">
        <v>47</v>
      </c>
      <c r="C21" s="133">
        <v>43437</v>
      </c>
      <c r="D21" s="134">
        <f t="shared" ref="D21:D26" si="12">E21</f>
        <v>80</v>
      </c>
      <c r="E21" s="134">
        <f t="shared" ref="E21:E26" si="13">Z21*8</f>
        <v>80</v>
      </c>
      <c r="F21" s="134">
        <f t="shared" ref="F21:F26" si="14">G21+H21</f>
        <v>80</v>
      </c>
      <c r="G21" s="134">
        <f t="shared" ref="G21:G26" si="15">SUM(I21:X21)</f>
        <v>80</v>
      </c>
      <c r="H21" s="135">
        <v>0</v>
      </c>
      <c r="I21" s="245" t="s">
        <v>39</v>
      </c>
      <c r="J21" s="183">
        <v>8</v>
      </c>
      <c r="K21" s="180">
        <v>8</v>
      </c>
      <c r="L21" s="183">
        <v>8</v>
      </c>
      <c r="M21" s="140">
        <v>8</v>
      </c>
      <c r="N21" s="140">
        <v>8</v>
      </c>
      <c r="O21" s="245" t="s">
        <v>39</v>
      </c>
      <c r="P21" s="245" t="s">
        <v>39</v>
      </c>
      <c r="Q21" s="183">
        <v>8</v>
      </c>
      <c r="R21" s="207">
        <v>8</v>
      </c>
      <c r="S21" s="207">
        <v>8</v>
      </c>
      <c r="T21" s="140">
        <v>8</v>
      </c>
      <c r="U21" s="140">
        <v>8</v>
      </c>
      <c r="V21" s="245" t="s">
        <v>39</v>
      </c>
      <c r="W21" s="245" t="s">
        <v>39</v>
      </c>
      <c r="X21" s="180"/>
      <c r="Y21" s="134"/>
      <c r="Z21" s="136">
        <v>10</v>
      </c>
      <c r="AA21" s="209"/>
      <c r="AB21" s="114"/>
    </row>
    <row r="22" spans="1:35" ht="12.75" customHeight="1">
      <c r="A22" s="131" t="s">
        <v>41</v>
      </c>
      <c r="B22" s="132" t="s">
        <v>47</v>
      </c>
      <c r="C22" s="133">
        <v>45028</v>
      </c>
      <c r="D22" s="134">
        <f t="shared" si="12"/>
        <v>80</v>
      </c>
      <c r="E22" s="134">
        <f t="shared" si="13"/>
        <v>80</v>
      </c>
      <c r="F22" s="134">
        <f t="shared" si="14"/>
        <v>80</v>
      </c>
      <c r="G22" s="134">
        <f t="shared" si="15"/>
        <v>80</v>
      </c>
      <c r="H22" s="135">
        <v>0</v>
      </c>
      <c r="I22" s="245" t="s">
        <v>39</v>
      </c>
      <c r="J22" s="180">
        <v>8</v>
      </c>
      <c r="K22" s="180">
        <v>8</v>
      </c>
      <c r="L22" s="180">
        <v>8</v>
      </c>
      <c r="M22" s="140">
        <v>8</v>
      </c>
      <c r="N22" s="140">
        <v>8</v>
      </c>
      <c r="O22" s="245" t="s">
        <v>39</v>
      </c>
      <c r="P22" s="245" t="s">
        <v>39</v>
      </c>
      <c r="Q22" s="180">
        <v>8</v>
      </c>
      <c r="R22" s="207">
        <v>8</v>
      </c>
      <c r="S22" s="207">
        <v>8</v>
      </c>
      <c r="T22" s="140">
        <v>8</v>
      </c>
      <c r="U22" s="140">
        <v>8</v>
      </c>
      <c r="V22" s="245" t="s">
        <v>39</v>
      </c>
      <c r="W22" s="245" t="s">
        <v>39</v>
      </c>
      <c r="X22" s="180"/>
      <c r="Y22" s="134"/>
      <c r="Z22" s="136">
        <v>10</v>
      </c>
      <c r="AA22" s="209"/>
      <c r="AB22" s="114"/>
    </row>
    <row r="23" spans="1:35" ht="12.75" customHeight="1">
      <c r="A23" s="131" t="s">
        <v>42</v>
      </c>
      <c r="B23" s="132" t="s">
        <v>47</v>
      </c>
      <c r="C23" s="133">
        <v>43395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245" t="s">
        <v>39</v>
      </c>
      <c r="J23" s="180">
        <v>8</v>
      </c>
      <c r="K23" s="180">
        <v>8</v>
      </c>
      <c r="L23" s="180">
        <v>8</v>
      </c>
      <c r="M23" s="140">
        <v>8</v>
      </c>
      <c r="N23" s="140">
        <v>8</v>
      </c>
      <c r="O23" s="245" t="s">
        <v>39</v>
      </c>
      <c r="P23" s="245" t="s">
        <v>39</v>
      </c>
      <c r="Q23" s="180">
        <v>8</v>
      </c>
      <c r="R23" s="207">
        <v>8</v>
      </c>
      <c r="S23" s="207">
        <v>8</v>
      </c>
      <c r="T23" s="140">
        <v>8</v>
      </c>
      <c r="U23" s="140">
        <v>8</v>
      </c>
      <c r="V23" s="245" t="s">
        <v>39</v>
      </c>
      <c r="W23" s="245" t="s">
        <v>39</v>
      </c>
      <c r="X23" s="180"/>
      <c r="Y23" s="134"/>
      <c r="Z23" s="136">
        <v>10</v>
      </c>
      <c r="AA23" s="209"/>
      <c r="AB23" s="114"/>
    </row>
    <row r="24" spans="1:35" ht="12.75" customHeight="1">
      <c r="A24" s="131" t="s">
        <v>43</v>
      </c>
      <c r="B24" s="132" t="s">
        <v>47</v>
      </c>
      <c r="C24" s="138">
        <v>43741</v>
      </c>
      <c r="D24" s="134">
        <f t="shared" si="12"/>
        <v>80</v>
      </c>
      <c r="E24" s="134">
        <f t="shared" si="13"/>
        <v>80</v>
      </c>
      <c r="F24" s="134">
        <f t="shared" si="14"/>
        <v>72</v>
      </c>
      <c r="G24" s="134">
        <f t="shared" si="15"/>
        <v>72</v>
      </c>
      <c r="H24" s="135">
        <v>0</v>
      </c>
      <c r="I24" s="245" t="s">
        <v>39</v>
      </c>
      <c r="J24" s="180">
        <v>8</v>
      </c>
      <c r="K24" s="180">
        <v>8</v>
      </c>
      <c r="L24" s="180">
        <v>8</v>
      </c>
      <c r="M24" s="140">
        <v>8</v>
      </c>
      <c r="N24" s="140">
        <v>8</v>
      </c>
      <c r="O24" s="245" t="s">
        <v>39</v>
      </c>
      <c r="P24" s="245" t="s">
        <v>39</v>
      </c>
      <c r="Q24" s="180">
        <v>8</v>
      </c>
      <c r="R24" s="207">
        <v>8</v>
      </c>
      <c r="S24" s="207">
        <v>8</v>
      </c>
      <c r="T24" s="140">
        <v>8</v>
      </c>
      <c r="U24" s="236"/>
      <c r="V24" s="245" t="s">
        <v>39</v>
      </c>
      <c r="W24" s="245" t="s">
        <v>39</v>
      </c>
      <c r="X24" s="180"/>
      <c r="Y24" s="134">
        <v>1</v>
      </c>
      <c r="Z24" s="136">
        <v>10</v>
      </c>
      <c r="AA24" s="209"/>
      <c r="AB24" s="114"/>
    </row>
    <row r="25" spans="1:35" ht="12.75" customHeight="1">
      <c r="A25" s="139" t="s">
        <v>44</v>
      </c>
      <c r="B25" s="132" t="s">
        <v>47</v>
      </c>
      <c r="C25" s="138">
        <v>43731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245" t="s">
        <v>39</v>
      </c>
      <c r="J25" s="180">
        <v>8</v>
      </c>
      <c r="K25" s="180">
        <v>8</v>
      </c>
      <c r="L25" s="180">
        <v>8</v>
      </c>
      <c r="M25" s="140">
        <v>8</v>
      </c>
      <c r="N25" s="140">
        <v>8</v>
      </c>
      <c r="O25" s="245" t="s">
        <v>39</v>
      </c>
      <c r="P25" s="245" t="s">
        <v>39</v>
      </c>
      <c r="Q25" s="207">
        <v>8</v>
      </c>
      <c r="R25" s="207">
        <v>8</v>
      </c>
      <c r="S25" s="207">
        <v>8</v>
      </c>
      <c r="T25" s="140">
        <v>8</v>
      </c>
      <c r="U25" s="140">
        <v>8</v>
      </c>
      <c r="V25" s="245" t="s">
        <v>39</v>
      </c>
      <c r="W25" s="245" t="s">
        <v>39</v>
      </c>
      <c r="X25" s="180"/>
      <c r="Y25" s="134"/>
      <c r="Z25" s="136">
        <v>10</v>
      </c>
      <c r="AA25" s="209"/>
      <c r="AB25" s="114"/>
    </row>
    <row r="26" spans="1:35" ht="12.75" customHeight="1">
      <c r="A26" s="139" t="s">
        <v>45</v>
      </c>
      <c r="B26" s="132" t="s">
        <v>47</v>
      </c>
      <c r="C26" s="138">
        <v>45628</v>
      </c>
      <c r="D26" s="134">
        <f t="shared" si="12"/>
        <v>80</v>
      </c>
      <c r="E26" s="134">
        <f t="shared" si="13"/>
        <v>80</v>
      </c>
      <c r="F26" s="134">
        <f t="shared" si="14"/>
        <v>80</v>
      </c>
      <c r="G26" s="134">
        <f t="shared" si="15"/>
        <v>80</v>
      </c>
      <c r="H26" s="135">
        <v>0</v>
      </c>
      <c r="I26" s="245" t="s">
        <v>39</v>
      </c>
      <c r="J26" s="241">
        <v>8</v>
      </c>
      <c r="K26" s="241">
        <v>8</v>
      </c>
      <c r="L26" s="241">
        <v>8</v>
      </c>
      <c r="M26" s="140">
        <v>8</v>
      </c>
      <c r="N26" s="140">
        <v>8</v>
      </c>
      <c r="O26" s="245" t="s">
        <v>39</v>
      </c>
      <c r="P26" s="245" t="s">
        <v>39</v>
      </c>
      <c r="Q26" s="241">
        <v>8</v>
      </c>
      <c r="R26" s="207">
        <v>8</v>
      </c>
      <c r="S26" s="207">
        <v>8</v>
      </c>
      <c r="T26" s="140">
        <v>8</v>
      </c>
      <c r="U26" s="140">
        <v>8</v>
      </c>
      <c r="V26" s="245" t="s">
        <v>39</v>
      </c>
      <c r="W26" s="245" t="s">
        <v>39</v>
      </c>
      <c r="X26" s="180"/>
      <c r="Y26" s="134"/>
      <c r="Z26" s="136">
        <v>10</v>
      </c>
      <c r="AA26" s="209"/>
      <c r="AB26" s="114"/>
    </row>
    <row r="27" spans="1:35" ht="12.75" hidden="1" customHeight="1">
      <c r="A27" s="140"/>
      <c r="B27" s="132" t="s">
        <v>47</v>
      </c>
      <c r="C27" s="138">
        <v>45629</v>
      </c>
      <c r="D27" s="140"/>
      <c r="E27" s="140"/>
      <c r="F27" s="140"/>
      <c r="G27" s="140"/>
      <c r="H27" s="135">
        <v>0</v>
      </c>
      <c r="I27" s="245" t="s">
        <v>39</v>
      </c>
      <c r="J27" s="140"/>
      <c r="K27" s="140"/>
      <c r="L27" s="140"/>
      <c r="M27" s="140"/>
      <c r="N27" s="140"/>
      <c r="O27" s="245" t="s">
        <v>39</v>
      </c>
      <c r="P27" s="245" t="s">
        <v>39</v>
      </c>
      <c r="Q27" s="140"/>
      <c r="R27" s="140"/>
      <c r="S27" s="140"/>
      <c r="T27" s="140"/>
      <c r="U27" s="140"/>
      <c r="V27" s="245" t="s">
        <v>39</v>
      </c>
      <c r="W27" s="245" t="s">
        <v>39</v>
      </c>
      <c r="X27" s="140"/>
      <c r="Y27" s="134"/>
      <c r="Z27" s="135"/>
      <c r="AA27" s="209"/>
      <c r="AB27" s="114"/>
    </row>
    <row r="28" spans="1:35" ht="12.75" hidden="1" customHeight="1">
      <c r="A28" s="140"/>
      <c r="B28" s="132" t="s">
        <v>47</v>
      </c>
      <c r="C28" s="138">
        <v>45630</v>
      </c>
      <c r="D28" s="140"/>
      <c r="E28" s="140"/>
      <c r="F28" s="140"/>
      <c r="G28" s="140"/>
      <c r="H28" s="135">
        <v>0</v>
      </c>
      <c r="I28" s="245" t="s">
        <v>39</v>
      </c>
      <c r="J28" s="140"/>
      <c r="K28" s="140"/>
      <c r="L28" s="140"/>
      <c r="M28" s="140"/>
      <c r="N28" s="140"/>
      <c r="O28" s="245" t="s">
        <v>39</v>
      </c>
      <c r="P28" s="245" t="s">
        <v>39</v>
      </c>
      <c r="Q28" s="140"/>
      <c r="R28" s="140"/>
      <c r="S28" s="140"/>
      <c r="T28" s="140"/>
      <c r="U28" s="140"/>
      <c r="V28" s="245" t="s">
        <v>39</v>
      </c>
      <c r="W28" s="245" t="s">
        <v>39</v>
      </c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47</v>
      </c>
      <c r="C29" s="138">
        <v>45631</v>
      </c>
      <c r="D29" s="140"/>
      <c r="E29" s="140"/>
      <c r="F29" s="140"/>
      <c r="G29" s="140"/>
      <c r="H29" s="135">
        <v>0</v>
      </c>
      <c r="I29" s="245" t="s">
        <v>39</v>
      </c>
      <c r="J29" s="140"/>
      <c r="K29" s="140"/>
      <c r="L29" s="140"/>
      <c r="M29" s="140"/>
      <c r="N29" s="140"/>
      <c r="O29" s="245" t="s">
        <v>39</v>
      </c>
      <c r="P29" s="245" t="s">
        <v>39</v>
      </c>
      <c r="Q29" s="140"/>
      <c r="R29" s="140"/>
      <c r="S29" s="140"/>
      <c r="T29" s="140"/>
      <c r="U29" s="140"/>
      <c r="V29" s="245" t="s">
        <v>39</v>
      </c>
      <c r="W29" s="245" t="s">
        <v>39</v>
      </c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47</v>
      </c>
      <c r="C30" s="138">
        <v>45632</v>
      </c>
      <c r="D30" s="140"/>
      <c r="E30" s="140"/>
      <c r="F30" s="140"/>
      <c r="G30" s="140"/>
      <c r="H30" s="135">
        <v>0</v>
      </c>
      <c r="I30" s="245" t="s">
        <v>39</v>
      </c>
      <c r="J30" s="140"/>
      <c r="K30" s="140"/>
      <c r="L30" s="140"/>
      <c r="M30" s="140"/>
      <c r="N30" s="140"/>
      <c r="O30" s="245" t="s">
        <v>39</v>
      </c>
      <c r="P30" s="245" t="s">
        <v>39</v>
      </c>
      <c r="Q30" s="140"/>
      <c r="R30" s="140"/>
      <c r="S30" s="140"/>
      <c r="T30" s="140"/>
      <c r="U30" s="140"/>
      <c r="V30" s="245" t="s">
        <v>39</v>
      </c>
      <c r="W30" s="245" t="s">
        <v>39</v>
      </c>
      <c r="X30" s="140"/>
      <c r="Y30" s="134"/>
      <c r="Z30" s="135"/>
      <c r="AA30" s="209"/>
      <c r="AB30" s="114"/>
    </row>
    <row r="31" spans="1:35" ht="12.75" customHeight="1">
      <c r="A31" s="139" t="s">
        <v>46</v>
      </c>
      <c r="B31" s="132" t="s">
        <v>47</v>
      </c>
      <c r="C31" s="138">
        <v>45633</v>
      </c>
      <c r="D31" s="251">
        <v>80</v>
      </c>
      <c r="E31" s="251">
        <v>80</v>
      </c>
      <c r="F31" s="251">
        <v>72</v>
      </c>
      <c r="G31" s="251">
        <v>72</v>
      </c>
      <c r="H31" s="252">
        <v>0</v>
      </c>
      <c r="I31" s="245" t="s">
        <v>39</v>
      </c>
      <c r="J31" s="140">
        <v>8</v>
      </c>
      <c r="K31" s="140">
        <v>8</v>
      </c>
      <c r="L31" s="140">
        <v>8</v>
      </c>
      <c r="M31" s="140">
        <v>8</v>
      </c>
      <c r="N31" s="140">
        <v>8</v>
      </c>
      <c r="O31" s="245" t="s">
        <v>39</v>
      </c>
      <c r="P31" s="245" t="s">
        <v>39</v>
      </c>
      <c r="Q31" s="140">
        <v>8</v>
      </c>
      <c r="R31" s="140">
        <v>8</v>
      </c>
      <c r="S31" s="140">
        <v>8</v>
      </c>
      <c r="T31" s="140">
        <v>8</v>
      </c>
      <c r="U31" s="236"/>
      <c r="V31" s="245" t="s">
        <v>39</v>
      </c>
      <c r="W31" s="245" t="s">
        <v>39</v>
      </c>
      <c r="X31" s="140"/>
      <c r="Y31" s="134">
        <v>1</v>
      </c>
      <c r="Z31" s="135">
        <v>10</v>
      </c>
      <c r="AA31" s="209"/>
      <c r="AB31" s="114"/>
    </row>
    <row r="32" spans="1:35" ht="12.75" customHeight="1">
      <c r="A32" s="228"/>
      <c r="B32" s="228"/>
      <c r="C32" s="229"/>
      <c r="D32" s="224">
        <f t="shared" ref="D32:U32" si="16">SUM(D21:D30)</f>
        <v>480</v>
      </c>
      <c r="E32" s="224">
        <f t="shared" si="16"/>
        <v>480</v>
      </c>
      <c r="F32" s="224">
        <f t="shared" si="16"/>
        <v>472</v>
      </c>
      <c r="G32" s="224">
        <f t="shared" si="16"/>
        <v>472</v>
      </c>
      <c r="H32" s="224">
        <f t="shared" si="16"/>
        <v>0</v>
      </c>
      <c r="I32" s="224">
        <f t="shared" si="16"/>
        <v>0</v>
      </c>
      <c r="J32" s="224">
        <f t="shared" si="16"/>
        <v>48</v>
      </c>
      <c r="K32" s="224">
        <f t="shared" si="16"/>
        <v>48</v>
      </c>
      <c r="L32" s="224">
        <f t="shared" si="16"/>
        <v>48</v>
      </c>
      <c r="M32" s="224">
        <f t="shared" si="16"/>
        <v>48</v>
      </c>
      <c r="N32" s="224">
        <f t="shared" si="16"/>
        <v>48</v>
      </c>
      <c r="O32" s="224">
        <f t="shared" si="16"/>
        <v>0</v>
      </c>
      <c r="P32" s="224">
        <f t="shared" si="16"/>
        <v>0</v>
      </c>
      <c r="Q32" s="224">
        <f t="shared" si="16"/>
        <v>48</v>
      </c>
      <c r="R32" s="224">
        <f t="shared" si="16"/>
        <v>48</v>
      </c>
      <c r="S32" s="224">
        <f t="shared" si="16"/>
        <v>48</v>
      </c>
      <c r="T32" s="224">
        <f t="shared" si="16"/>
        <v>48</v>
      </c>
      <c r="U32" s="224">
        <f t="shared" si="16"/>
        <v>40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6" t="s">
        <v>25</v>
      </c>
      <c r="E35" s="246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F5+F21</f>
        <v>160</v>
      </c>
      <c r="C36" s="154">
        <f t="shared" ref="C36:C46" si="17">E5+E21</f>
        <v>160</v>
      </c>
      <c r="D36" s="247">
        <f t="shared" ref="D36:D46" si="18">B36</f>
        <v>160</v>
      </c>
      <c r="E36" s="250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F6+F22</f>
        <v>160</v>
      </c>
      <c r="C37" s="154">
        <f t="shared" si="17"/>
        <v>160</v>
      </c>
      <c r="D37" s="247">
        <f t="shared" si="18"/>
        <v>160</v>
      </c>
      <c r="E37" s="250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42</v>
      </c>
      <c r="B38" s="153">
        <f>F7+F23</f>
        <v>152</v>
      </c>
      <c r="C38" s="154">
        <f t="shared" si="17"/>
        <v>160</v>
      </c>
      <c r="D38" s="247">
        <f t="shared" si="18"/>
        <v>152</v>
      </c>
      <c r="E38" s="250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43</v>
      </c>
      <c r="B39" s="153">
        <f>F8+F24</f>
        <v>152</v>
      </c>
      <c r="C39" s="154">
        <f t="shared" si="17"/>
        <v>160</v>
      </c>
      <c r="D39" s="247">
        <f t="shared" si="18"/>
        <v>152</v>
      </c>
      <c r="E39" s="250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44</v>
      </c>
      <c r="B40" s="216">
        <f>F9+F25</f>
        <v>160</v>
      </c>
      <c r="C40" s="217">
        <f t="shared" si="17"/>
        <v>160</v>
      </c>
      <c r="D40" s="248">
        <f t="shared" si="18"/>
        <v>160</v>
      </c>
      <c r="E40" s="250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 thickBot="1">
      <c r="A41" s="139" t="s">
        <v>45</v>
      </c>
      <c r="B41" s="158">
        <f>G10+G26</f>
        <v>160</v>
      </c>
      <c r="C41" s="159">
        <f t="shared" si="17"/>
        <v>160</v>
      </c>
      <c r="D41" s="249">
        <f t="shared" si="18"/>
        <v>160</v>
      </c>
      <c r="E41" s="250">
        <v>27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hidden="1" customHeight="1" thickBot="1">
      <c r="A42" s="140"/>
      <c r="B42" s="158">
        <f t="shared" ref="B42:B46" si="19">G11+G27</f>
        <v>0</v>
      </c>
      <c r="C42" s="159">
        <f t="shared" si="17"/>
        <v>0</v>
      </c>
      <c r="D42" s="249">
        <f t="shared" si="18"/>
        <v>0</v>
      </c>
      <c r="E42" s="250">
        <v>27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40"/>
      <c r="B43" s="158">
        <f t="shared" si="19"/>
        <v>0</v>
      </c>
      <c r="C43" s="159">
        <f t="shared" si="17"/>
        <v>0</v>
      </c>
      <c r="D43" s="249">
        <f t="shared" si="18"/>
        <v>0</v>
      </c>
      <c r="E43" s="250">
        <v>27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40"/>
      <c r="B44" s="158">
        <f t="shared" si="19"/>
        <v>0</v>
      </c>
      <c r="C44" s="159">
        <f t="shared" si="17"/>
        <v>0</v>
      </c>
      <c r="D44" s="249">
        <f t="shared" si="18"/>
        <v>0</v>
      </c>
      <c r="E44" s="250">
        <v>27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40"/>
      <c r="B45" s="158">
        <f t="shared" si="19"/>
        <v>0</v>
      </c>
      <c r="C45" s="159">
        <f t="shared" si="17"/>
        <v>0</v>
      </c>
      <c r="D45" s="249">
        <f t="shared" si="18"/>
        <v>0</v>
      </c>
      <c r="E45" s="250">
        <v>27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2.75" customHeight="1" thickBot="1">
      <c r="A46" s="139" t="s">
        <v>46</v>
      </c>
      <c r="B46" s="158">
        <f t="shared" si="19"/>
        <v>152</v>
      </c>
      <c r="C46" s="159">
        <f t="shared" si="17"/>
        <v>160</v>
      </c>
      <c r="D46" s="249">
        <f t="shared" si="18"/>
        <v>152</v>
      </c>
      <c r="E46" s="250">
        <v>29</v>
      </c>
      <c r="F46" s="163"/>
      <c r="G46" s="163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 thickBot="1">
      <c r="A47" s="209"/>
      <c r="B47" s="209"/>
      <c r="C47" s="209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4.25" customHeight="1">
      <c r="A48" s="255" t="s">
        <v>0</v>
      </c>
      <c r="B48" s="256"/>
      <c r="C48" s="257"/>
      <c r="D48" s="209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64" t="s">
        <v>26</v>
      </c>
      <c r="B49" s="165" t="s">
        <v>27</v>
      </c>
      <c r="C49" s="166" t="s">
        <v>28</v>
      </c>
      <c r="D49" s="209"/>
      <c r="E49" s="120"/>
      <c r="F49" s="120"/>
      <c r="G49" s="114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7" t="s">
        <v>29</v>
      </c>
      <c r="B50" s="168">
        <v>10</v>
      </c>
      <c r="C50" s="171">
        <f>B50*8</f>
        <v>80</v>
      </c>
      <c r="D50" s="209"/>
      <c r="E50" s="120"/>
      <c r="F50" s="120"/>
      <c r="G50" s="120"/>
      <c r="H50" s="114"/>
      <c r="I50" s="169"/>
      <c r="J50" s="169"/>
      <c r="K50" s="169"/>
      <c r="L50" s="169"/>
      <c r="M50" s="169"/>
      <c r="N50" s="169"/>
      <c r="O50" s="169"/>
      <c r="P50" s="114"/>
      <c r="Q50" s="114"/>
      <c r="R50" s="114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56" t="s">
        <v>30</v>
      </c>
      <c r="B51" s="170">
        <v>0</v>
      </c>
      <c r="C51" s="171">
        <f>B51*8</f>
        <v>0</v>
      </c>
      <c r="D51" s="209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 thickBot="1">
      <c r="A52" s="157" t="s">
        <v>31</v>
      </c>
      <c r="B52" s="172">
        <f t="shared" ref="B52:C52" si="20">B50-B51</f>
        <v>10</v>
      </c>
      <c r="C52" s="173">
        <f t="shared" si="20"/>
        <v>80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209"/>
      <c r="B53" s="209"/>
      <c r="C53" s="20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 thickBo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4.25" customHeight="1">
      <c r="A55" s="255" t="s">
        <v>22</v>
      </c>
      <c r="B55" s="256"/>
      <c r="C55" s="257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64" t="s">
        <v>26</v>
      </c>
      <c r="B56" s="165" t="s">
        <v>27</v>
      </c>
      <c r="C56" s="166" t="s">
        <v>28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4" t="s">
        <v>29</v>
      </c>
      <c r="B57" s="168">
        <v>12</v>
      </c>
      <c r="C57" s="171">
        <f t="shared" ref="C57:C58" si="21">B57*8</f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30</v>
      </c>
      <c r="B58" s="175">
        <v>0</v>
      </c>
      <c r="C58" s="171">
        <f t="shared" si="21"/>
        <v>0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 thickBot="1">
      <c r="A59" s="176" t="s">
        <v>31</v>
      </c>
      <c r="B59" s="172">
        <f t="shared" ref="B59:C59" si="22">B57-B58</f>
        <v>12</v>
      </c>
      <c r="C59" s="173">
        <f t="shared" si="22"/>
        <v>96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 thickBo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 thickBot="1">
      <c r="A61" s="120"/>
      <c r="B61" s="177" t="s">
        <v>32</v>
      </c>
      <c r="C61" s="178">
        <f>C52+C59</f>
        <v>176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14"/>
      <c r="AC81" s="114"/>
    </row>
    <row r="82" spans="1:29" ht="12.75" customHeight="1">
      <c r="A82" s="114"/>
      <c r="B82" s="114"/>
      <c r="C82" s="114"/>
      <c r="D82" s="11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</row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</sheetData>
  <mergeCells count="16">
    <mergeCell ref="Z19:Z20"/>
    <mergeCell ref="A48:C48"/>
    <mergeCell ref="A55:C55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1" t="s">
        <v>6</v>
      </c>
      <c r="Y3" s="261" t="s">
        <v>7</v>
      </c>
      <c r="Z3" s="209"/>
      <c r="AA3" s="210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2"/>
      <c r="Y4" s="262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1" t="s">
        <v>1</v>
      </c>
      <c r="B3" s="261" t="s">
        <v>2</v>
      </c>
      <c r="C3" s="261" t="s">
        <v>3</v>
      </c>
      <c r="D3" s="261" t="s">
        <v>4</v>
      </c>
      <c r="E3" s="263" t="s">
        <v>5</v>
      </c>
      <c r="F3" s="262"/>
      <c r="G3" s="262"/>
      <c r="H3" s="262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1" t="s">
        <v>6</v>
      </c>
      <c r="Y3" s="261" t="s">
        <v>7</v>
      </c>
      <c r="Z3" s="209"/>
      <c r="AA3" s="114"/>
      <c r="AB3" s="114"/>
    </row>
    <row r="4" spans="1:35" ht="27" customHeight="1">
      <c r="A4" s="262"/>
      <c r="B4" s="262"/>
      <c r="C4" s="262"/>
      <c r="D4" s="262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2"/>
      <c r="Y4" s="262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1" t="s">
        <v>1</v>
      </c>
      <c r="B18" s="261" t="s">
        <v>2</v>
      </c>
      <c r="C18" s="261" t="s">
        <v>3</v>
      </c>
      <c r="D18" s="261" t="s">
        <v>4</v>
      </c>
      <c r="E18" s="263" t="s">
        <v>5</v>
      </c>
      <c r="F18" s="262"/>
      <c r="G18" s="262"/>
      <c r="H18" s="262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1" t="s">
        <v>6</v>
      </c>
      <c r="Z18" s="261" t="s">
        <v>7</v>
      </c>
      <c r="AA18" s="209"/>
      <c r="AB18" s="114"/>
    </row>
    <row r="19" spans="1:29" ht="26.25" customHeight="1">
      <c r="A19" s="262"/>
      <c r="B19" s="262"/>
      <c r="C19" s="262"/>
      <c r="D19" s="262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2"/>
      <c r="Z19" s="262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3" t="s">
        <v>1</v>
      </c>
      <c r="B3" s="253" t="s">
        <v>2</v>
      </c>
      <c r="C3" s="253" t="s">
        <v>3</v>
      </c>
      <c r="D3" s="253" t="s">
        <v>4</v>
      </c>
      <c r="E3" s="258" t="s">
        <v>5</v>
      </c>
      <c r="F3" s="259"/>
      <c r="G3" s="259"/>
      <c r="H3" s="260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3" t="s">
        <v>6</v>
      </c>
      <c r="Y3" s="253" t="s">
        <v>7</v>
      </c>
      <c r="Z3" s="120"/>
      <c r="AA3" s="114"/>
      <c r="AB3" s="114"/>
    </row>
    <row r="4" spans="1:35" ht="27" customHeight="1">
      <c r="A4" s="254"/>
      <c r="B4" s="254"/>
      <c r="C4" s="254"/>
      <c r="D4" s="254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4"/>
      <c r="Y4" s="254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3" t="s">
        <v>1</v>
      </c>
      <c r="B18" s="253" t="s">
        <v>2</v>
      </c>
      <c r="C18" s="253" t="s">
        <v>3</v>
      </c>
      <c r="D18" s="253" t="s">
        <v>4</v>
      </c>
      <c r="E18" s="258" t="s">
        <v>5</v>
      </c>
      <c r="F18" s="259"/>
      <c r="G18" s="259"/>
      <c r="H18" s="260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3" t="s">
        <v>6</v>
      </c>
      <c r="Z18" s="253" t="s">
        <v>7</v>
      </c>
      <c r="AA18" s="120"/>
      <c r="AB18" s="114"/>
    </row>
    <row r="19" spans="1:29" ht="26.25" customHeight="1">
      <c r="A19" s="254"/>
      <c r="B19" s="254"/>
      <c r="C19" s="254"/>
      <c r="D19" s="254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4"/>
      <c r="Z19" s="254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5" t="s">
        <v>0</v>
      </c>
      <c r="B46" s="256"/>
      <c r="C46" s="257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5" t="s">
        <v>22</v>
      </c>
      <c r="B53" s="256"/>
      <c r="C53" s="257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4" t="s">
        <v>1</v>
      </c>
      <c r="B3" s="264" t="s">
        <v>2</v>
      </c>
      <c r="C3" s="264" t="s">
        <v>3</v>
      </c>
      <c r="D3" s="264" t="s">
        <v>4</v>
      </c>
      <c r="E3" s="269" t="s">
        <v>5</v>
      </c>
      <c r="F3" s="270"/>
      <c r="G3" s="270"/>
      <c r="H3" s="271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4" t="s">
        <v>6</v>
      </c>
      <c r="Y3" s="264" t="s">
        <v>7</v>
      </c>
      <c r="Z3" s="13"/>
      <c r="AA3" s="15"/>
      <c r="AB3" s="15"/>
    </row>
    <row r="4" spans="1:35" ht="26.25" customHeight="1">
      <c r="A4" s="265"/>
      <c r="B4" s="265"/>
      <c r="C4" s="265"/>
      <c r="D4" s="265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5"/>
      <c r="Y4" s="265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4" t="s">
        <v>1</v>
      </c>
      <c r="B19" s="264" t="s">
        <v>2</v>
      </c>
      <c r="C19" s="264" t="s">
        <v>3</v>
      </c>
      <c r="D19" s="264" t="s">
        <v>4</v>
      </c>
      <c r="E19" s="269" t="s">
        <v>5</v>
      </c>
      <c r="F19" s="270"/>
      <c r="G19" s="270"/>
      <c r="H19" s="271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4" t="s">
        <v>6</v>
      </c>
      <c r="Z19" s="264" t="s">
        <v>7</v>
      </c>
      <c r="AA19" s="13"/>
      <c r="AB19" s="15"/>
    </row>
    <row r="20" spans="1:35" ht="26.25" customHeight="1">
      <c r="A20" s="265"/>
      <c r="B20" s="265"/>
      <c r="C20" s="265"/>
      <c r="D20" s="265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5"/>
      <c r="Z20" s="265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6" t="s">
        <v>0</v>
      </c>
      <c r="B49" s="267"/>
      <c r="C49" s="26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6" t="s">
        <v>22</v>
      </c>
      <c r="B56" s="267"/>
      <c r="C56" s="26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DEC 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2026-05-05T17:53:50Z</dcterms:modified>
  <cp:category/>
  <cp:contentStatus/>
</cp:coreProperties>
</file>