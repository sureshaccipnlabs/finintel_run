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narayanaswamy/Downloads/"/>
    </mc:Choice>
  </mc:AlternateContent>
  <xr:revisionPtr revIDLastSave="0" documentId="13_ncr:1_{F0ACC26A-7C6E-F443-9B71-D78838414DCB}" xr6:coauthVersionLast="47" xr6:coauthVersionMax="47" xr10:uidLastSave="{00000000-0000-0000-0000-000000000000}"/>
  <bookViews>
    <workbookView xWindow="0" yWindow="760" windowWidth="34560" windowHeight="19760" xr2:uid="{00000000-000D-0000-FFFF-FFFF00000000}"/>
  </bookViews>
  <sheets>
    <sheet name="Timesheet March-2026" sheetId="4" r:id="rId1"/>
    <sheet name="Sheet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K14" i="4" s="1"/>
  <c r="J13" i="4"/>
  <c r="K13" i="4" s="1"/>
  <c r="J12" i="4"/>
  <c r="K12" i="4" s="1"/>
  <c r="H46" i="4"/>
  <c r="G46" i="4" s="1"/>
  <c r="F46" i="4" s="1"/>
  <c r="H45" i="4"/>
  <c r="G45" i="4" s="1"/>
  <c r="F45" i="4" s="1"/>
  <c r="H44" i="4"/>
  <c r="G44" i="4" s="1"/>
  <c r="F44" i="4" s="1"/>
  <c r="H30" i="4"/>
  <c r="G30" i="4" s="1"/>
  <c r="F30" i="4" s="1"/>
  <c r="H29" i="4"/>
  <c r="G29" i="4"/>
  <c r="F29" i="4"/>
  <c r="H28" i="4"/>
  <c r="G28" i="4" s="1"/>
  <c r="F28" i="4" s="1"/>
  <c r="H38" i="4"/>
  <c r="G38" i="4" s="1"/>
  <c r="F38" i="4" s="1"/>
  <c r="J8" i="4"/>
  <c r="K8" i="4" s="1"/>
  <c r="R31" i="4"/>
  <c r="H43" i="4"/>
  <c r="H41" i="4"/>
  <c r="G41" i="4" s="1"/>
  <c r="F41" i="4" s="1"/>
  <c r="H42" i="4"/>
  <c r="G42" i="4" s="1"/>
  <c r="F42" i="4" s="1"/>
  <c r="G43" i="4"/>
  <c r="F43" i="4" s="1"/>
  <c r="J11" i="4"/>
  <c r="K11" i="4" s="1"/>
  <c r="H27" i="4"/>
  <c r="G27" i="4" s="1"/>
  <c r="F27" i="4" s="1"/>
  <c r="J10" i="4"/>
  <c r="K10" i="4" s="1"/>
  <c r="J9" i="4"/>
  <c r="K9" i="4" s="1"/>
  <c r="H26" i="4"/>
  <c r="G26" i="4"/>
  <c r="F26" i="4"/>
  <c r="H25" i="4"/>
  <c r="G25" i="4"/>
  <c r="F25" i="4"/>
  <c r="U10" i="4"/>
  <c r="U11" i="4"/>
  <c r="AA47" i="4"/>
  <c r="I47" i="4"/>
  <c r="J47" i="4"/>
  <c r="K47" i="4"/>
  <c r="L47" i="4"/>
  <c r="M47" i="4"/>
  <c r="P47" i="4"/>
  <c r="Q47" i="4"/>
  <c r="R47" i="4"/>
  <c r="S47" i="4"/>
  <c r="T47" i="4"/>
  <c r="U47" i="4"/>
  <c r="V47" i="4"/>
  <c r="W47" i="4"/>
  <c r="X47" i="4"/>
  <c r="Y47" i="4"/>
  <c r="Z47" i="4"/>
  <c r="I31" i="4"/>
  <c r="J31" i="4"/>
  <c r="K31" i="4"/>
  <c r="L31" i="4"/>
  <c r="M31" i="4"/>
  <c r="P31" i="4"/>
  <c r="Q31" i="4"/>
  <c r="S31" i="4"/>
  <c r="T31" i="4"/>
  <c r="U31" i="4"/>
  <c r="V31" i="4"/>
  <c r="W31" i="4"/>
  <c r="X31" i="4"/>
  <c r="Y31" i="4"/>
  <c r="Z31" i="4"/>
  <c r="H39" i="4" l="1"/>
  <c r="G39" i="4" s="1"/>
  <c r="F39" i="4" s="1"/>
  <c r="H37" i="4"/>
  <c r="H22" i="4"/>
  <c r="G22" i="4" s="1"/>
  <c r="F22" i="4" s="1"/>
  <c r="H23" i="4"/>
  <c r="G23" i="4" s="1"/>
  <c r="F23" i="4" s="1"/>
  <c r="H24" i="4"/>
  <c r="G24" i="4" s="1"/>
  <c r="F24" i="4" s="1"/>
  <c r="J6" i="4"/>
  <c r="K6" i="4" s="1"/>
  <c r="J7" i="4"/>
  <c r="K7" i="4" s="1"/>
  <c r="J5" i="4"/>
  <c r="J16" i="4" s="1"/>
  <c r="J19" i="4"/>
  <c r="J20" i="4" s="1"/>
  <c r="T12" i="4"/>
  <c r="T7" i="4"/>
  <c r="U6" i="4"/>
  <c r="U5" i="4"/>
  <c r="G6" i="3"/>
  <c r="T13" i="4" l="1"/>
  <c r="K5" i="4"/>
  <c r="K16" i="4" s="1"/>
  <c r="U12" i="4"/>
  <c r="U7" i="4"/>
  <c r="K19" i="4"/>
  <c r="U13" i="4" l="1"/>
  <c r="H47" i="4"/>
  <c r="K20" i="4"/>
  <c r="L19" i="4"/>
  <c r="L20" i="4" s="1"/>
  <c r="I8" i="4" l="1"/>
  <c r="L8" i="4" s="1"/>
  <c r="I14" i="4"/>
  <c r="I13" i="4"/>
  <c r="I12" i="4"/>
  <c r="L12" i="4" s="1"/>
  <c r="I11" i="4"/>
  <c r="L11" i="4" s="1"/>
  <c r="I10" i="4"/>
  <c r="L10" i="4" s="1"/>
  <c r="I9" i="4"/>
  <c r="L9" i="4" s="1"/>
  <c r="I5" i="4"/>
  <c r="I6" i="4"/>
  <c r="L6" i="4" s="1"/>
  <c r="I7" i="4"/>
  <c r="L7" i="4" s="1"/>
  <c r="H21" i="4"/>
  <c r="H31" i="4" s="1"/>
  <c r="M19" i="4"/>
  <c r="M20" i="4" s="1"/>
  <c r="L5" i="4" l="1"/>
  <c r="I16" i="4"/>
  <c r="L16" i="4"/>
  <c r="G21" i="4"/>
  <c r="F21" i="4" s="1"/>
  <c r="G31" i="4"/>
  <c r="F31" i="4" s="1"/>
  <c r="P19" i="4"/>
  <c r="P20" i="4" l="1"/>
  <c r="Q19" i="4"/>
  <c r="R19" i="4" l="1"/>
  <c r="Q20" i="4"/>
  <c r="R20" i="4" l="1"/>
  <c r="S19" i="4"/>
  <c r="T19" i="4" l="1"/>
  <c r="S20" i="4"/>
  <c r="U19" i="4" l="1"/>
  <c r="U20" i="4" s="1"/>
  <c r="T20" i="4"/>
  <c r="V19" i="4" l="1"/>
  <c r="V20" i="4" s="1"/>
  <c r="W19" i="4" l="1"/>
  <c r="W20" i="4" l="1"/>
  <c r="X19" i="4"/>
  <c r="X20" i="4" l="1"/>
  <c r="Y19" i="4"/>
  <c r="Y20" i="4" s="1"/>
  <c r="Z19" i="4" l="1"/>
  <c r="Z20" i="4" s="1"/>
  <c r="J35" i="4" l="1"/>
  <c r="K35" i="4" l="1"/>
  <c r="K36" i="4" s="1"/>
  <c r="J36" i="4"/>
  <c r="L35" i="4" l="1"/>
  <c r="L36" i="4" s="1"/>
  <c r="M35" i="4" l="1"/>
  <c r="G37" i="4" l="1"/>
  <c r="G47" i="4"/>
  <c r="F47" i="4" s="1"/>
  <c r="P35" i="4"/>
  <c r="M36" i="4"/>
  <c r="F37" i="4" l="1"/>
  <c r="P36" i="4"/>
  <c r="Q35" i="4"/>
  <c r="Q36" i="4" s="1"/>
  <c r="R35" i="4" l="1"/>
  <c r="R36" i="4" s="1"/>
  <c r="S35" i="4" l="1"/>
  <c r="T35" i="4" l="1"/>
  <c r="T36" i="4" s="1"/>
  <c r="S36" i="4"/>
  <c r="U35" i="4" l="1"/>
  <c r="U36" i="4" s="1"/>
  <c r="V35" i="4" l="1"/>
  <c r="V36" i="4" s="1"/>
  <c r="W35" i="4" l="1"/>
  <c r="X35" i="4" l="1"/>
  <c r="W36" i="4"/>
  <c r="Y35" i="4" l="1"/>
  <c r="X36" i="4"/>
  <c r="Y36" i="4" l="1"/>
  <c r="Z35" i="4"/>
  <c r="Z36" i="4" l="1"/>
  <c r="AA35" i="4"/>
  <c r="AA36" i="4" s="1"/>
</calcChain>
</file>

<file path=xl/sharedStrings.xml><?xml version="1.0" encoding="utf-8"?>
<sst xmlns="http://schemas.openxmlformats.org/spreadsheetml/2006/main" count="134" uniqueCount="68">
  <si>
    <t>Project Name: TMV Holding</t>
  </si>
  <si>
    <t>Line of Service: New Product Development</t>
  </si>
  <si>
    <t>Sl No.</t>
  </si>
  <si>
    <t>Emp ID</t>
  </si>
  <si>
    <t>Name</t>
  </si>
  <si>
    <t>Project Role</t>
  </si>
  <si>
    <t>On-Board Date</t>
  </si>
  <si>
    <t>Max Hours</t>
  </si>
  <si>
    <t>Actual Hours</t>
  </si>
  <si>
    <t>Final Billable Hours</t>
  </si>
  <si>
    <t>Leaves (Days)</t>
  </si>
  <si>
    <t>End-Date</t>
  </si>
  <si>
    <t>1st Fortnight</t>
  </si>
  <si>
    <t>Legends</t>
  </si>
  <si>
    <t>Notes</t>
  </si>
  <si>
    <t>Days</t>
  </si>
  <si>
    <t>Hours</t>
  </si>
  <si>
    <t>Holiday</t>
  </si>
  <si>
    <t>Weekend</t>
  </si>
  <si>
    <t>Leave</t>
  </si>
  <si>
    <t>1100-7043</t>
  </si>
  <si>
    <t>Priyanka Yadav</t>
  </si>
  <si>
    <t>HubSpot - Dev</t>
  </si>
  <si>
    <t>No of weekdays</t>
  </si>
  <si>
    <t>Sat, Sun</t>
  </si>
  <si>
    <t>L</t>
  </si>
  <si>
    <t>1100-11877</t>
  </si>
  <si>
    <t xml:space="preserve">Ishaan Solanki </t>
  </si>
  <si>
    <t>Java Dev</t>
  </si>
  <si>
    <t>Offshore Holidays</t>
  </si>
  <si>
    <t>1100-11886</t>
  </si>
  <si>
    <t>Ajay Chandvaniya</t>
  </si>
  <si>
    <t>GCP</t>
  </si>
  <si>
    <t>Offshore working days</t>
  </si>
  <si>
    <t>1100- 11896</t>
  </si>
  <si>
    <t xml:space="preserve">Ajith Kumar Tenneti </t>
  </si>
  <si>
    <t>2nd Fortnight</t>
  </si>
  <si>
    <t>1100- 7312</t>
  </si>
  <si>
    <t>Vasundhara S</t>
  </si>
  <si>
    <t xml:space="preserve">QA </t>
  </si>
  <si>
    <t>RH-0183</t>
  </si>
  <si>
    <t>Prabhudev S</t>
  </si>
  <si>
    <t>QA Automation</t>
  </si>
  <si>
    <t>1100-7262</t>
  </si>
  <si>
    <t>Mahesh B H</t>
  </si>
  <si>
    <t>Sr Sofware Engineer. - BE</t>
  </si>
  <si>
    <t>1100-7407</t>
  </si>
  <si>
    <t>Ankit Kumar Soni</t>
  </si>
  <si>
    <t>1100-4052</t>
  </si>
  <si>
    <t>Gowtham Selvaraju</t>
  </si>
  <si>
    <t>Sr Sofware Engineer. - FE</t>
  </si>
  <si>
    <t>Total</t>
  </si>
  <si>
    <t>1100-6313</t>
  </si>
  <si>
    <t>Aishwarya Venkatesh Babu</t>
  </si>
  <si>
    <t>Business Analyst</t>
  </si>
  <si>
    <t>Project</t>
  </si>
  <si>
    <t>Billable</t>
  </si>
  <si>
    <t>Actual</t>
  </si>
  <si>
    <t>Offshore</t>
  </si>
  <si>
    <t>Onshore</t>
  </si>
  <si>
    <t>Jumpspark</t>
  </si>
  <si>
    <t>Simply Noted</t>
  </si>
  <si>
    <t>A1- DevOps</t>
  </si>
  <si>
    <t>A1 - DevOps</t>
  </si>
  <si>
    <t>FieldForce-Tech &amp; Torch</t>
  </si>
  <si>
    <t>Front. End. Dev</t>
  </si>
  <si>
    <t>Billing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</si>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</sst>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"/>
    <numFmt numFmtId="165" formatCode="[$-409]d\-mmm\-yy"/>
    <numFmt numFmtId="166" formatCode="dd&quot;-&quot;mmm&quot; &quot;yy"/>
    <numFmt numFmtId="167" formatCode="m/d"/>
  </numFmts>
  <fonts count="15" x14ac:knownFonts="1"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b/>
      <sz val="9"/>
      <color theme="1"/>
      <name val="Calibri"/>
      <family val="2"/>
    </font>
    <font>
      <sz val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CFFFF"/>
        <bgColor rgb="FFCCFFFF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4" borderId="10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66" fontId="8" fillId="0" borderId="11" xfId="0" applyNumberFormat="1" applyFont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3" fillId="7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9" fillId="9" borderId="8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7" borderId="8" xfId="0" applyFont="1" applyFill="1" applyBorder="1" applyAlignment="1">
      <alignment horizont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/>
    </xf>
    <xf numFmtId="0" fontId="12" fillId="10" borderId="12" xfId="0" applyFont="1" applyFill="1" applyBorder="1"/>
    <xf numFmtId="0" fontId="9" fillId="0" borderId="0" xfId="0" applyFont="1"/>
    <xf numFmtId="0" fontId="3" fillId="0" borderId="8" xfId="0" applyFont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7" borderId="41" xfId="0" applyFont="1" applyFill="1" applyBorder="1" applyAlignment="1">
      <alignment horizontal="center" vertical="center"/>
    </xf>
    <xf numFmtId="0" fontId="3" fillId="10" borderId="43" xfId="0" applyFont="1" applyFill="1" applyBorder="1"/>
    <xf numFmtId="0" fontId="3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16" fontId="4" fillId="9" borderId="25" xfId="0" applyNumberFormat="1" applyFont="1" applyFill="1" applyBorder="1" applyAlignment="1">
      <alignment horizontal="center" vertical="center"/>
    </xf>
    <xf numFmtId="167" fontId="4" fillId="8" borderId="25" xfId="0" applyNumberFormat="1" applyFont="1" applyFill="1" applyBorder="1" applyAlignment="1">
      <alignment horizontal="center" vertical="center"/>
    </xf>
    <xf numFmtId="167" fontId="4" fillId="8" borderId="27" xfId="0" applyNumberFormat="1" applyFont="1" applyFill="1" applyBorder="1" applyAlignment="1">
      <alignment horizontal="center" vertical="center"/>
    </xf>
    <xf numFmtId="167" fontId="4" fillId="8" borderId="8" xfId="0" applyNumberFormat="1" applyFont="1" applyFill="1" applyBorder="1" applyAlignment="1">
      <alignment horizontal="center" vertical="center"/>
    </xf>
    <xf numFmtId="167" fontId="4" fillId="8" borderId="9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167" fontId="4" fillId="8" borderId="12" xfId="0" applyNumberFormat="1" applyFont="1" applyFill="1" applyBorder="1" applyAlignment="1">
      <alignment horizontal="center" vertical="center"/>
    </xf>
    <xf numFmtId="167" fontId="4" fillId="8" borderId="13" xfId="0" applyNumberFormat="1" applyFont="1" applyFill="1" applyBorder="1" applyAlignment="1">
      <alignment horizontal="center" vertical="center"/>
    </xf>
    <xf numFmtId="0" fontId="4" fillId="10" borderId="43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top" wrapText="1"/>
    </xf>
    <xf numFmtId="0" fontId="9" fillId="12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/>
    </xf>
    <xf numFmtId="167" fontId="4" fillId="11" borderId="44" xfId="0" applyNumberFormat="1" applyFont="1" applyFill="1" applyBorder="1" applyAlignment="1">
      <alignment horizontal="center" vertical="center"/>
    </xf>
    <xf numFmtId="167" fontId="4" fillId="11" borderId="45" xfId="0" applyNumberFormat="1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top" wrapText="1"/>
    </xf>
    <xf numFmtId="0" fontId="4" fillId="10" borderId="42" xfId="0" applyFont="1" applyFill="1" applyBorder="1" applyAlignment="1">
      <alignment horizontal="center" vertical="top" wrapText="1"/>
    </xf>
    <xf numFmtId="167" fontId="4" fillId="11" borderId="47" xfId="0" applyNumberFormat="1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wrapText="1"/>
    </xf>
    <xf numFmtId="0" fontId="3" fillId="0" borderId="49" xfId="0" applyFont="1" applyBorder="1" applyAlignment="1">
      <alignment horizontal="center" vertical="center"/>
    </xf>
    <xf numFmtId="167" fontId="4" fillId="8" borderId="49" xfId="0" applyNumberFormat="1" applyFont="1" applyFill="1" applyBorder="1" applyAlignment="1">
      <alignment horizontal="center" vertical="center"/>
    </xf>
    <xf numFmtId="167" fontId="4" fillId="8" borderId="50" xfId="0" applyNumberFormat="1" applyFont="1" applyFill="1" applyBorder="1" applyAlignment="1">
      <alignment horizontal="center" vertical="center"/>
    </xf>
    <xf numFmtId="167" fontId="4" fillId="11" borderId="51" xfId="0" applyNumberFormat="1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/>
    <xf numFmtId="0" fontId="3" fillId="12" borderId="49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12" fillId="10" borderId="0" xfId="0" applyFont="1" applyFill="1"/>
    <xf numFmtId="0" fontId="4" fillId="10" borderId="0" xfId="0" applyFont="1" applyFill="1" applyAlignment="1">
      <alignment horizontal="center" vertical="center" wrapText="1"/>
    </xf>
    <xf numFmtId="167" fontId="4" fillId="8" borderId="0" xfId="0" applyNumberFormat="1" applyFont="1" applyFill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8" xfId="0" applyBorder="1"/>
    <xf numFmtId="0" fontId="3" fillId="7" borderId="29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left" vertical="top"/>
    </xf>
    <xf numFmtId="0" fontId="9" fillId="7" borderId="20" xfId="0" applyFont="1" applyFill="1" applyBorder="1" applyAlignment="1">
      <alignment horizontal="left" vertical="top"/>
    </xf>
    <xf numFmtId="0" fontId="3" fillId="7" borderId="49" xfId="0" applyFont="1" applyFill="1" applyBorder="1" applyAlignment="1">
      <alignment horizontal="center" vertical="center"/>
    </xf>
    <xf numFmtId="0" fontId="3" fillId="10" borderId="58" xfId="0" applyFont="1" applyFill="1" applyBorder="1" applyAlignment="1">
      <alignment horizontal="center"/>
    </xf>
    <xf numFmtId="0" fontId="3" fillId="7" borderId="59" xfId="0" applyFont="1" applyFill="1" applyBorder="1" applyAlignment="1">
      <alignment horizontal="center" vertical="center"/>
    </xf>
    <xf numFmtId="0" fontId="3" fillId="7" borderId="52" xfId="0" applyFont="1" applyFill="1" applyBorder="1" applyAlignment="1">
      <alignment horizontal="center" wrapText="1"/>
    </xf>
    <xf numFmtId="0" fontId="3" fillId="13" borderId="49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3" fillId="0" borderId="62" xfId="0" applyFont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top" wrapText="1"/>
    </xf>
    <xf numFmtId="0" fontId="2" fillId="0" borderId="14" xfId="0" applyFont="1" applyBorder="1"/>
    <xf numFmtId="0" fontId="2" fillId="0" borderId="15" xfId="0" applyFont="1" applyBorder="1"/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3" fillId="7" borderId="28" xfId="0" applyFont="1" applyFill="1" applyBorder="1" applyAlignment="1">
      <alignment horizontal="left" vertical="center"/>
    </xf>
    <xf numFmtId="0" fontId="2" fillId="0" borderId="28" xfId="0" applyFont="1" applyBorder="1"/>
    <xf numFmtId="0" fontId="3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165" fontId="3" fillId="7" borderId="28" xfId="0" applyNumberFormat="1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/>
    </xf>
    <xf numFmtId="0" fontId="3" fillId="7" borderId="28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3" fillId="0" borderId="14" xfId="0" applyFont="1" applyBorder="1" applyAlignment="1">
      <alignment horizontal="left" vertical="center" wrapText="1"/>
    </xf>
    <xf numFmtId="0" fontId="9" fillId="7" borderId="28" xfId="0" applyFont="1" applyFill="1" applyBorder="1" applyAlignment="1">
      <alignment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15" fontId="3" fillId="7" borderId="28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vertical="center"/>
    </xf>
    <xf numFmtId="15" fontId="3" fillId="7" borderId="29" xfId="0" applyNumberFormat="1" applyFont="1" applyFill="1" applyBorder="1" applyAlignment="1">
      <alignment horizontal="left" vertical="center" wrapText="1"/>
    </xf>
    <xf numFmtId="15" fontId="3" fillId="7" borderId="30" xfId="0" applyNumberFormat="1" applyFont="1" applyFill="1" applyBorder="1" applyAlignment="1">
      <alignment horizontal="left" vertical="center" wrapText="1"/>
    </xf>
    <xf numFmtId="164" fontId="1" fillId="2" borderId="29" xfId="0" applyNumberFormat="1" applyFont="1" applyFill="1" applyBorder="1" applyAlignment="1">
      <alignment horizontal="center" vertical="center" wrapText="1"/>
    </xf>
    <xf numFmtId="164" fontId="1" fillId="2" borderId="31" xfId="0" applyNumberFormat="1" applyFont="1" applyFill="1" applyBorder="1" applyAlignment="1">
      <alignment horizontal="center" vertical="center" wrapText="1"/>
    </xf>
    <xf numFmtId="164" fontId="1" fillId="2" borderId="30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/>
    </xf>
    <xf numFmtId="0" fontId="3" fillId="10" borderId="60" xfId="0" applyFont="1" applyFill="1" applyBorder="1" applyAlignment="1">
      <alignment horizontal="center"/>
    </xf>
    <xf numFmtId="0" fontId="2" fillId="0" borderId="61" xfId="0" applyFont="1" applyBorder="1"/>
    <xf numFmtId="0" fontId="9" fillId="8" borderId="2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left" vertical="top"/>
    </xf>
    <xf numFmtId="0" fontId="9" fillId="7" borderId="57" xfId="0" applyFont="1" applyFill="1" applyBorder="1" applyAlignment="1">
      <alignment horizontal="left" vertical="top"/>
    </xf>
    <xf numFmtId="0" fontId="4" fillId="3" borderId="21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4" fillId="3" borderId="22" xfId="0" applyFont="1" applyFill="1" applyBorder="1" applyAlignment="1">
      <alignment horizontal="center" vertical="top" wrapText="1"/>
    </xf>
    <xf numFmtId="0" fontId="2" fillId="0" borderId="23" xfId="0" applyFont="1" applyBorder="1"/>
    <xf numFmtId="0" fontId="2" fillId="0" borderId="24" xfId="0" applyFont="1" applyBorder="1"/>
    <xf numFmtId="15" fontId="3" fillId="0" borderId="28" xfId="0" applyNumberFormat="1" applyFont="1" applyBorder="1" applyAlignment="1">
      <alignment horizontal="left" vertical="center"/>
    </xf>
    <xf numFmtId="165" fontId="3" fillId="7" borderId="29" xfId="0" applyNumberFormat="1" applyFont="1" applyFill="1" applyBorder="1" applyAlignment="1">
      <alignment horizontal="left" vertical="center" wrapText="1"/>
    </xf>
    <xf numFmtId="165" fontId="3" fillId="7" borderId="30" xfId="0" applyNumberFormat="1" applyFont="1" applyFill="1" applyBorder="1" applyAlignment="1">
      <alignment horizontal="left" vertical="center" wrapText="1"/>
    </xf>
    <xf numFmtId="0" fontId="3" fillId="7" borderId="54" xfId="0" applyFont="1" applyFill="1" applyBorder="1" applyAlignment="1">
      <alignment horizontal="left" vertical="center"/>
    </xf>
    <xf numFmtId="0" fontId="3" fillId="7" borderId="30" xfId="0" applyFont="1" applyFill="1" applyBorder="1" applyAlignment="1">
      <alignment horizontal="left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9" fillId="7" borderId="59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9" fillId="7" borderId="30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2" xfId="0" applyFont="1" applyBorder="1"/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3" fillId="0" borderId="0" xfId="0" applyNumberFormat="1" applyFont="1"/>
    <xf numFmtId="0" fontId="4" fillId="3" borderId="29" xfId="0" applyFont="1" applyFill="1" applyBorder="1" applyAlignment="1">
      <alignment horizontal="center" vertical="center" wrapText="1"/>
    </xf>
    <xf numFmtId="0" fontId="2" fillId="0" borderId="63" xfId="0" applyFont="1" applyBorder="1" applyAlignment="1">
      <alignment vertical="center"/>
    </xf>
    <xf numFmtId="0" fontId="3" fillId="0" borderId="59" xfId="0" applyFont="1" applyBorder="1"/>
    <xf numFmtId="0" fontId="3" fillId="0" borderId="62" xfId="0" applyFont="1" applyBorder="1"/>
    <xf numFmtId="15" fontId="3" fillId="0" borderId="62" xfId="0" applyNumberFormat="1" applyFont="1" applyBorder="1" applyAlignment="1">
      <alignment horizontal="left"/>
    </xf>
    <xf numFmtId="0" fontId="0" fillId="0" borderId="59" xfId="0" applyBorder="1"/>
    <xf numFmtId="0" fontId="7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right" wrapText="1"/>
    </xf>
    <xf numFmtId="0" fontId="2" fillId="0" borderId="28" xfId="0" applyFont="1" applyBorder="1" applyAlignment="1">
      <alignment horizontal="right"/>
    </xf>
    <xf numFmtId="0" fontId="3" fillId="0" borderId="28" xfId="0" applyNumberFormat="1" applyFont="1" applyBorder="1" applyAlignment="1">
      <alignment horizontal="right"/>
    </xf>
    <xf numFmtId="0" fontId="3" fillId="0" borderId="28" xfId="0" applyNumberFormat="1" applyFont="1" applyFill="1" applyBorder="1" applyAlignment="1">
      <alignment horizontal="right"/>
    </xf>
    <xf numFmtId="0" fontId="0" fillId="0" borderId="28" xfId="0" applyNumberFormat="1" applyBorder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colors>
    <mruColors>
      <color rgb="FF8DB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A302-5B03-014E-B236-C8D72A1AF798}">
  <sheetPr codeName="Sheet1"/>
  <dimension ref="A1:AF991"/>
  <sheetViews>
    <sheetView showGridLines="0" tabSelected="1" zoomScale="130" zoomScaleNormal="130" workbookViewId="0">
      <selection activeCell="O12" sqref="O12"/>
    </sheetView>
  </sheetViews>
  <sheetFormatPr baseColWidth="10" defaultColWidth="14.3984375" defaultRowHeight="15" customHeight="1" x14ac:dyDescent="0.2"/>
  <cols>
    <col min="1" max="1" width="6.796875" customWidth="1"/>
    <col min="2" max="2" width="12.796875" customWidth="1"/>
    <col min="3" max="3" width="16.19921875" customWidth="1"/>
    <col min="4" max="4" width="7" customWidth="1"/>
    <col min="5" max="5" width="19.19921875" customWidth="1"/>
    <col min="6" max="6" width="8.19921875" customWidth="1"/>
    <col min="7" max="7" width="9" bestFit="1" customWidth="1"/>
    <col min="8" max="8" width="9.59765625" customWidth="1"/>
    <col min="9" max="9" width="8.796875" customWidth="1"/>
    <col min="10" max="10" width="8.19921875" customWidth="1"/>
    <col min="11" max="11" width="8" customWidth="1"/>
    <col min="12" max="12" width="7.796875" customWidth="1"/>
    <col min="13" max="13" width="9.19921875" bestFit="1" customWidth="1"/>
    <col min="14" max="15" width="9.19921875" customWidth="1"/>
    <col min="16" max="22" width="7.796875" customWidth="1"/>
    <col min="23" max="23" width="8.19921875" customWidth="1"/>
    <col min="24" max="31" width="7.796875" customWidth="1"/>
  </cols>
  <sheetData>
    <row r="1" spans="1:31" ht="17.25" customHeight="1" x14ac:dyDescent="0.2">
      <c r="A1" s="122">
        <v>46082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/>
      <c r="Q1" s="1"/>
      <c r="R1" s="1"/>
      <c r="S1" s="1"/>
      <c r="T1" s="1"/>
      <c r="U1" s="1"/>
      <c r="V1" s="1"/>
      <c r="W1" s="1"/>
      <c r="X1" s="1"/>
      <c r="AC1" s="1"/>
      <c r="AD1" s="1"/>
      <c r="AE1" s="1"/>
    </row>
    <row r="2" spans="1:31" ht="12" customHeight="1" x14ac:dyDescent="0.2">
      <c r="A2" s="29"/>
      <c r="B2" s="29"/>
      <c r="C2" s="125" t="s">
        <v>0</v>
      </c>
      <c r="D2" s="126"/>
      <c r="E2" s="125" t="s">
        <v>1</v>
      </c>
      <c r="F2" s="128"/>
      <c r="G2" s="128"/>
      <c r="H2" s="128"/>
      <c r="I2" s="128"/>
      <c r="J2" s="128"/>
      <c r="K2" s="128"/>
      <c r="L2" s="126"/>
      <c r="M2" s="1"/>
      <c r="N2" s="1"/>
      <c r="O2" s="1"/>
      <c r="P2" s="1"/>
      <c r="Q2" s="1"/>
      <c r="X2" s="3"/>
      <c r="AC2" s="4"/>
      <c r="AD2" s="1"/>
    </row>
    <row r="3" spans="1:31" ht="15.75" customHeight="1" x14ac:dyDescent="0.2">
      <c r="A3" s="117" t="s">
        <v>2</v>
      </c>
      <c r="B3" s="117" t="s">
        <v>3</v>
      </c>
      <c r="C3" s="117" t="s">
        <v>4</v>
      </c>
      <c r="D3" s="105"/>
      <c r="E3" s="117" t="s">
        <v>5</v>
      </c>
      <c r="F3" s="105"/>
      <c r="G3" s="127" t="s">
        <v>6</v>
      </c>
      <c r="H3" s="107"/>
      <c r="I3" s="117" t="s">
        <v>7</v>
      </c>
      <c r="J3" s="117" t="s">
        <v>8</v>
      </c>
      <c r="K3" s="118" t="s">
        <v>9</v>
      </c>
      <c r="L3" s="117" t="s">
        <v>10</v>
      </c>
      <c r="M3" s="167" t="s">
        <v>11</v>
      </c>
      <c r="N3" s="176"/>
      <c r="O3" s="176"/>
      <c r="P3" s="173" t="s">
        <v>12</v>
      </c>
      <c r="Q3" s="109"/>
      <c r="R3" s="109"/>
      <c r="S3" s="109"/>
      <c r="T3" s="109"/>
      <c r="U3" s="110"/>
      <c r="W3" s="116" t="s">
        <v>13</v>
      </c>
      <c r="X3" s="109"/>
      <c r="Y3" s="110"/>
      <c r="AB3" s="1"/>
      <c r="AC3" s="1"/>
    </row>
    <row r="4" spans="1:31" ht="21" customHeight="1" x14ac:dyDescent="0.2">
      <c r="A4" s="105"/>
      <c r="B4" s="105"/>
      <c r="C4" s="105"/>
      <c r="D4" s="105"/>
      <c r="E4" s="105"/>
      <c r="F4" s="105"/>
      <c r="G4" s="107"/>
      <c r="H4" s="107"/>
      <c r="I4" s="105"/>
      <c r="J4" s="105"/>
      <c r="K4" s="119"/>
      <c r="L4" s="105"/>
      <c r="M4" s="168"/>
      <c r="N4" s="177" t="s">
        <v>66</v>
      </c>
      <c r="O4" s="177" t="s">
        <v>67</v>
      </c>
      <c r="P4" s="99" t="s">
        <v>14</v>
      </c>
      <c r="Q4" s="100"/>
      <c r="R4" s="100"/>
      <c r="S4" s="101"/>
      <c r="T4" s="39" t="s">
        <v>15</v>
      </c>
      <c r="U4" s="40" t="s">
        <v>16</v>
      </c>
      <c r="V4" s="1"/>
      <c r="W4" s="5" t="s">
        <v>17</v>
      </c>
      <c r="X4" s="6" t="s">
        <v>18</v>
      </c>
      <c r="Y4" s="7" t="s">
        <v>19</v>
      </c>
      <c r="Z4" s="1"/>
      <c r="AA4" s="1"/>
    </row>
    <row r="5" spans="1:31" ht="15" customHeight="1" x14ac:dyDescent="0.2">
      <c r="A5" s="28">
        <v>1</v>
      </c>
      <c r="B5" s="32" t="s">
        <v>20</v>
      </c>
      <c r="C5" s="102" t="s">
        <v>21</v>
      </c>
      <c r="D5" s="103"/>
      <c r="E5" s="104" t="s">
        <v>22</v>
      </c>
      <c r="F5" s="105"/>
      <c r="G5" s="106">
        <v>45873</v>
      </c>
      <c r="H5" s="107"/>
      <c r="I5" s="33">
        <f t="shared" ref="I5:I14" si="0">$U$13</f>
        <v>176</v>
      </c>
      <c r="J5" s="28">
        <f>SUM($J21:$Z21)+SUM($J37:$AA37)</f>
        <v>168</v>
      </c>
      <c r="K5" s="28">
        <f>J5</f>
        <v>168</v>
      </c>
      <c r="L5" s="78">
        <f>IF(I5=K5,"",(I5-K5)/8)</f>
        <v>1</v>
      </c>
      <c r="M5" s="169"/>
      <c r="N5" s="178">
        <v>100</v>
      </c>
      <c r="O5" s="178">
        <v>20</v>
      </c>
      <c r="P5" s="97" t="s">
        <v>23</v>
      </c>
      <c r="Q5" s="100"/>
      <c r="R5" s="100"/>
      <c r="S5" s="101"/>
      <c r="T5" s="9">
        <v>10</v>
      </c>
      <c r="U5" s="10">
        <f t="shared" ref="U5:U6" si="1">T5*8</f>
        <v>80</v>
      </c>
      <c r="V5" s="1"/>
      <c r="W5" s="11"/>
      <c r="X5" s="12" t="s">
        <v>24</v>
      </c>
      <c r="Y5" s="13" t="s">
        <v>25</v>
      </c>
      <c r="Z5" s="1"/>
      <c r="AA5" s="1"/>
    </row>
    <row r="6" spans="1:31" ht="14" x14ac:dyDescent="0.2">
      <c r="A6" s="28">
        <v>2</v>
      </c>
      <c r="B6" s="32" t="s">
        <v>26</v>
      </c>
      <c r="C6" s="108" t="s">
        <v>27</v>
      </c>
      <c r="D6" s="103"/>
      <c r="E6" s="104" t="s">
        <v>28</v>
      </c>
      <c r="F6" s="105"/>
      <c r="G6" s="106">
        <v>45873</v>
      </c>
      <c r="H6" s="107"/>
      <c r="I6" s="33">
        <f t="shared" si="0"/>
        <v>176</v>
      </c>
      <c r="J6" s="28">
        <f>SUM($J22:$Z22)+SUM($J38:$AA38)</f>
        <v>136</v>
      </c>
      <c r="K6" s="28">
        <f t="shared" ref="K6:K7" si="2">J6</f>
        <v>136</v>
      </c>
      <c r="L6" s="29">
        <f t="shared" ref="L6:L7" si="3">IF(I6=K6,"",(I6-K6)/8)</f>
        <v>5</v>
      </c>
      <c r="M6" s="91">
        <v>46106</v>
      </c>
      <c r="N6" s="178">
        <v>89</v>
      </c>
      <c r="O6" s="178">
        <v>30</v>
      </c>
      <c r="P6" s="174" t="s">
        <v>29</v>
      </c>
      <c r="Q6" s="100"/>
      <c r="R6" s="100"/>
      <c r="S6" s="101"/>
      <c r="T6" s="9">
        <v>0</v>
      </c>
      <c r="U6" s="10">
        <f t="shared" si="1"/>
        <v>0</v>
      </c>
      <c r="V6" s="1"/>
      <c r="Y6" s="1"/>
      <c r="Z6" s="1"/>
      <c r="AA6" s="1"/>
    </row>
    <row r="7" spans="1:31" ht="15" customHeight="1" x14ac:dyDescent="0.2">
      <c r="A7" s="28">
        <v>3</v>
      </c>
      <c r="B7" s="32" t="s">
        <v>30</v>
      </c>
      <c r="C7" s="112" t="s">
        <v>31</v>
      </c>
      <c r="D7" s="103"/>
      <c r="E7" s="113" t="s">
        <v>32</v>
      </c>
      <c r="F7" s="114"/>
      <c r="G7" s="106">
        <v>45877</v>
      </c>
      <c r="H7" s="107"/>
      <c r="I7" s="33">
        <f t="shared" si="0"/>
        <v>176</v>
      </c>
      <c r="J7" s="28">
        <f>SUM($J23:$Z23)+SUM($J39:$AA39)</f>
        <v>176</v>
      </c>
      <c r="K7" s="28">
        <f t="shared" si="2"/>
        <v>176</v>
      </c>
      <c r="L7" s="78" t="str">
        <f t="shared" si="3"/>
        <v/>
      </c>
      <c r="M7" s="169"/>
      <c r="N7" s="178">
        <v>90</v>
      </c>
      <c r="O7" s="178">
        <v>70</v>
      </c>
      <c r="P7" s="111" t="s">
        <v>33</v>
      </c>
      <c r="Q7" s="95"/>
      <c r="R7" s="95"/>
      <c r="S7" s="96"/>
      <c r="T7" s="14">
        <f t="shared" ref="T7:U7" si="4">T5-T6</f>
        <v>10</v>
      </c>
      <c r="U7" s="15">
        <f t="shared" si="4"/>
        <v>80</v>
      </c>
      <c r="V7" s="1"/>
      <c r="Y7" s="1"/>
      <c r="Z7" s="1"/>
      <c r="AA7" s="1"/>
    </row>
    <row r="8" spans="1:31" ht="15" customHeight="1" x14ac:dyDescent="0.2">
      <c r="A8" s="28">
        <v>4</v>
      </c>
      <c r="B8" s="32" t="s">
        <v>34</v>
      </c>
      <c r="C8" s="112" t="s">
        <v>35</v>
      </c>
      <c r="D8" s="103"/>
      <c r="E8" s="113" t="s">
        <v>32</v>
      </c>
      <c r="F8" s="114"/>
      <c r="G8" s="115">
        <v>45890</v>
      </c>
      <c r="H8" s="107"/>
      <c r="I8" s="33">
        <f t="shared" si="0"/>
        <v>176</v>
      </c>
      <c r="J8" s="28">
        <f>SUM($J23:$Z23)+SUM($J39:$AA39)</f>
        <v>176</v>
      </c>
      <c r="K8" s="28">
        <f t="shared" ref="K8" si="5">J8</f>
        <v>176</v>
      </c>
      <c r="L8" s="78" t="str">
        <f t="shared" ref="L8" si="6">IF(I8=K8,"",(I8-K8)/8)</f>
        <v/>
      </c>
      <c r="M8" s="169"/>
      <c r="N8" s="178">
        <v>38</v>
      </c>
      <c r="O8" s="178">
        <v>90</v>
      </c>
      <c r="P8" s="175" t="s">
        <v>36</v>
      </c>
      <c r="Q8" s="109"/>
      <c r="R8" s="109"/>
      <c r="S8" s="109"/>
      <c r="T8" s="109"/>
      <c r="U8" s="110"/>
      <c r="V8" s="1"/>
      <c r="Y8" s="1"/>
      <c r="Z8" s="1"/>
      <c r="AA8" s="1"/>
    </row>
    <row r="9" spans="1:31" ht="15" customHeight="1" x14ac:dyDescent="0.2">
      <c r="A9" s="28">
        <v>5</v>
      </c>
      <c r="B9" s="32" t="s">
        <v>37</v>
      </c>
      <c r="C9" s="112" t="s">
        <v>38</v>
      </c>
      <c r="D9" s="103"/>
      <c r="E9" s="113" t="s">
        <v>39</v>
      </c>
      <c r="F9" s="114"/>
      <c r="G9" s="120">
        <v>45978</v>
      </c>
      <c r="H9" s="121"/>
      <c r="I9" s="33">
        <f t="shared" si="0"/>
        <v>176</v>
      </c>
      <c r="J9" s="28">
        <f t="shared" ref="J9:J14" si="7">SUM($J25:$Z25)+SUM($J41:$AA41)</f>
        <v>168</v>
      </c>
      <c r="K9" s="28">
        <f>J9</f>
        <v>168</v>
      </c>
      <c r="L9" s="78">
        <f>IF(I9=K9,"",(I9-K9)/8)</f>
        <v>1</v>
      </c>
      <c r="M9" s="170"/>
      <c r="N9" s="178">
        <v>89</v>
      </c>
      <c r="O9" s="178">
        <v>20</v>
      </c>
      <c r="P9" s="99" t="s">
        <v>14</v>
      </c>
      <c r="Q9" s="100"/>
      <c r="R9" s="100"/>
      <c r="S9" s="101"/>
      <c r="T9" s="39" t="s">
        <v>15</v>
      </c>
      <c r="U9" s="40" t="s">
        <v>16</v>
      </c>
      <c r="V9" s="1"/>
      <c r="Y9" s="1"/>
      <c r="Z9" s="1"/>
      <c r="AA9" s="1"/>
    </row>
    <row r="10" spans="1:31" ht="12.75" customHeight="1" x14ac:dyDescent="0.2">
      <c r="A10" s="28">
        <v>6</v>
      </c>
      <c r="B10" s="32" t="s">
        <v>40</v>
      </c>
      <c r="C10" s="112" t="s">
        <v>41</v>
      </c>
      <c r="D10" s="103"/>
      <c r="E10" s="113" t="s">
        <v>42</v>
      </c>
      <c r="F10" s="114"/>
      <c r="G10" s="120">
        <v>45962</v>
      </c>
      <c r="H10" s="121"/>
      <c r="I10" s="33">
        <f t="shared" si="0"/>
        <v>176</v>
      </c>
      <c r="J10" s="28">
        <f t="shared" si="7"/>
        <v>160</v>
      </c>
      <c r="K10" s="28">
        <f>J10</f>
        <v>160</v>
      </c>
      <c r="L10" s="78">
        <f>IF(I10=K10,"",(I10-K10)/8)</f>
        <v>2</v>
      </c>
      <c r="M10" s="169"/>
      <c r="N10" s="178">
        <v>47</v>
      </c>
      <c r="O10" s="178">
        <v>60</v>
      </c>
      <c r="P10" s="97" t="s">
        <v>23</v>
      </c>
      <c r="Q10" s="97"/>
      <c r="R10" s="97"/>
      <c r="S10" s="98"/>
      <c r="T10" s="9">
        <v>12</v>
      </c>
      <c r="U10" s="10">
        <f t="shared" ref="U10:U11" si="8">T10*8</f>
        <v>96</v>
      </c>
      <c r="V10" s="1"/>
      <c r="Y10" s="1"/>
      <c r="Z10" s="1"/>
      <c r="AA10" s="1"/>
    </row>
    <row r="11" spans="1:31" ht="12.75" customHeight="1" x14ac:dyDescent="0.2">
      <c r="A11" s="28">
        <v>7</v>
      </c>
      <c r="B11" s="32" t="s">
        <v>43</v>
      </c>
      <c r="C11" s="108" t="s">
        <v>44</v>
      </c>
      <c r="D11" s="105"/>
      <c r="E11" s="104" t="s">
        <v>45</v>
      </c>
      <c r="F11" s="105"/>
      <c r="G11" s="139">
        <v>46009</v>
      </c>
      <c r="H11" s="105"/>
      <c r="I11" s="33">
        <f t="shared" si="0"/>
        <v>176</v>
      </c>
      <c r="J11" s="28">
        <f t="shared" si="7"/>
        <v>144</v>
      </c>
      <c r="K11" s="28">
        <f>J11</f>
        <v>144</v>
      </c>
      <c r="L11" s="78">
        <f>IF(I11=K11,"",(I11-K11)/8)</f>
        <v>4</v>
      </c>
      <c r="M11" s="169"/>
      <c r="N11" s="178">
        <v>89</v>
      </c>
      <c r="O11" s="178">
        <v>70</v>
      </c>
      <c r="P11" s="97" t="s">
        <v>29</v>
      </c>
      <c r="Q11" s="97"/>
      <c r="R11" s="97"/>
      <c r="S11" s="98"/>
      <c r="T11" s="16">
        <v>0</v>
      </c>
      <c r="U11" s="10">
        <f t="shared" si="8"/>
        <v>0</v>
      </c>
      <c r="V11" s="1"/>
      <c r="Y11" s="1"/>
      <c r="Z11" s="1"/>
      <c r="AA11" s="1"/>
    </row>
    <row r="12" spans="1:31" ht="14" x14ac:dyDescent="0.2">
      <c r="A12" s="28">
        <v>8</v>
      </c>
      <c r="B12" t="s">
        <v>46</v>
      </c>
      <c r="C12" s="108" t="s">
        <v>47</v>
      </c>
      <c r="D12" s="105"/>
      <c r="E12" s="104" t="s">
        <v>45</v>
      </c>
      <c r="F12" s="105"/>
      <c r="G12" s="140">
        <v>46050</v>
      </c>
      <c r="H12" s="141"/>
      <c r="I12" s="33">
        <f t="shared" si="0"/>
        <v>176</v>
      </c>
      <c r="J12" s="28">
        <f t="shared" si="7"/>
        <v>168</v>
      </c>
      <c r="K12" s="28">
        <f>J12</f>
        <v>168</v>
      </c>
      <c r="L12" s="78">
        <f>IF(I12=K12,"",(I12-K12)/8)</f>
        <v>1</v>
      </c>
      <c r="M12" s="171"/>
      <c r="N12" s="178">
        <v>70</v>
      </c>
      <c r="O12" s="178">
        <v>90</v>
      </c>
      <c r="P12" s="94" t="s">
        <v>33</v>
      </c>
      <c r="Q12" s="95"/>
      <c r="R12" s="95"/>
      <c r="S12" s="96"/>
      <c r="T12" s="14">
        <f>T10-T11</f>
        <v>12</v>
      </c>
      <c r="U12" s="15">
        <f>U10-U11</f>
        <v>96</v>
      </c>
      <c r="V12" s="1"/>
      <c r="Z12" s="1"/>
      <c r="AA12" s="1"/>
    </row>
    <row r="13" spans="1:31" ht="14" x14ac:dyDescent="0.2">
      <c r="A13" s="28">
        <v>9</v>
      </c>
      <c r="B13" s="79" t="s">
        <v>48</v>
      </c>
      <c r="C13" s="142" t="s">
        <v>49</v>
      </c>
      <c r="D13" s="143"/>
      <c r="E13" s="104" t="s">
        <v>50</v>
      </c>
      <c r="F13" s="105"/>
      <c r="G13" s="140">
        <v>46059</v>
      </c>
      <c r="H13" s="141"/>
      <c r="I13" s="33">
        <f t="shared" si="0"/>
        <v>176</v>
      </c>
      <c r="J13" s="28">
        <f t="shared" si="7"/>
        <v>168</v>
      </c>
      <c r="K13" s="28">
        <f>J13</f>
        <v>168</v>
      </c>
      <c r="L13" s="82">
        <v>1</v>
      </c>
      <c r="M13" s="169"/>
      <c r="N13" s="179">
        <v>50</v>
      </c>
      <c r="O13" s="179">
        <v>20</v>
      </c>
      <c r="P13" s="144" t="s">
        <v>51</v>
      </c>
      <c r="Q13" s="144"/>
      <c r="R13" s="144"/>
      <c r="S13" s="145"/>
      <c r="T13" s="41">
        <f>T7+T12</f>
        <v>22</v>
      </c>
      <c r="U13" s="42">
        <f>U7+U12</f>
        <v>176</v>
      </c>
      <c r="V13" s="1"/>
      <c r="Z13" s="1"/>
      <c r="AA13" s="1"/>
    </row>
    <row r="14" spans="1:31" ht="14" x14ac:dyDescent="0.2">
      <c r="A14" s="28">
        <v>10</v>
      </c>
      <c r="B14" s="79" t="s">
        <v>52</v>
      </c>
      <c r="C14" s="142" t="s">
        <v>53</v>
      </c>
      <c r="D14" s="143"/>
      <c r="E14" s="104" t="s">
        <v>54</v>
      </c>
      <c r="F14" s="105"/>
      <c r="G14" s="140">
        <v>46099</v>
      </c>
      <c r="H14" s="141"/>
      <c r="I14" s="33">
        <f t="shared" si="0"/>
        <v>176</v>
      </c>
      <c r="J14" s="28">
        <f t="shared" si="7"/>
        <v>72</v>
      </c>
      <c r="K14" s="28">
        <f t="shared" ref="K14" si="9">J14</f>
        <v>72</v>
      </c>
      <c r="L14" s="82">
        <v>0</v>
      </c>
      <c r="M14" s="169"/>
      <c r="N14" s="179">
        <v>80</v>
      </c>
      <c r="O14" s="179">
        <v>60</v>
      </c>
      <c r="P14" s="71"/>
      <c r="Q14" s="71"/>
      <c r="R14" s="71"/>
      <c r="S14" s="71"/>
      <c r="T14" s="43"/>
      <c r="U14" s="43"/>
      <c r="V14" s="1"/>
      <c r="Z14" s="1"/>
      <c r="AA14" s="1"/>
    </row>
    <row r="15" spans="1:31" ht="14" x14ac:dyDescent="0.2">
      <c r="A15" s="80">
        <v>11</v>
      </c>
      <c r="M15" s="170"/>
      <c r="N15" s="178"/>
      <c r="O15" s="178"/>
      <c r="P15" s="71"/>
      <c r="Q15" s="71"/>
      <c r="R15" s="71"/>
      <c r="S15" s="71"/>
      <c r="T15" s="43"/>
      <c r="U15" s="43"/>
      <c r="V15" s="1"/>
      <c r="Z15" s="1"/>
      <c r="AA15" s="1"/>
    </row>
    <row r="16" spans="1:31" ht="15.75" customHeight="1" x14ac:dyDescent="0.2">
      <c r="A16" s="34"/>
      <c r="B16" s="81"/>
      <c r="C16" s="131"/>
      <c r="D16" s="105"/>
      <c r="E16" s="131"/>
      <c r="F16" s="105"/>
      <c r="G16" s="146"/>
      <c r="H16" s="147"/>
      <c r="I16" s="44">
        <f>SUM(I5:I12)</f>
        <v>1408</v>
      </c>
      <c r="J16" s="44">
        <f>SUM(J5:J14)</f>
        <v>1536</v>
      </c>
      <c r="K16" s="44">
        <f>SUM(K5:K14)</f>
        <v>1536</v>
      </c>
      <c r="L16" s="83">
        <f>SUM(L5:L12)</f>
        <v>14</v>
      </c>
      <c r="M16" s="172"/>
      <c r="N16" s="180"/>
      <c r="O16" s="180"/>
      <c r="R16" s="1"/>
      <c r="S16" s="1"/>
      <c r="X16" s="1"/>
      <c r="Y16" s="1"/>
      <c r="Z16" s="1"/>
      <c r="AA16" s="1"/>
      <c r="AB16" s="1"/>
      <c r="AC16" s="1"/>
      <c r="AD16" s="1"/>
    </row>
    <row r="17" spans="1:31" ht="16.5" customHeight="1" x14ac:dyDescent="0.2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66"/>
      <c r="O17" s="166"/>
      <c r="P17" s="1"/>
      <c r="Q17" s="1"/>
      <c r="R17" s="1"/>
      <c r="S17" s="1"/>
      <c r="Y17" s="1"/>
      <c r="Z17" s="1"/>
      <c r="AA17" s="1"/>
      <c r="AB17" s="1"/>
      <c r="AC17" s="1"/>
      <c r="AD17" s="1"/>
      <c r="AE17" s="1"/>
    </row>
    <row r="18" spans="1:31" ht="18" customHeight="1" x14ac:dyDescent="0.2">
      <c r="A18" s="30"/>
      <c r="B18" s="148" t="s">
        <v>12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50"/>
      <c r="AC18" s="18"/>
      <c r="AD18" s="18"/>
      <c r="AE18" s="1"/>
    </row>
    <row r="19" spans="1:31" ht="12.75" customHeight="1" x14ac:dyDescent="0.2">
      <c r="A19" s="43"/>
      <c r="B19" s="154" t="s">
        <v>2</v>
      </c>
      <c r="C19" s="156" t="s">
        <v>4</v>
      </c>
      <c r="D19" s="157"/>
      <c r="E19" s="134" t="s">
        <v>55</v>
      </c>
      <c r="F19" s="136" t="s">
        <v>16</v>
      </c>
      <c r="G19" s="137"/>
      <c r="H19" s="137"/>
      <c r="I19" s="138"/>
      <c r="J19" s="45">
        <f>A1</f>
        <v>46082</v>
      </c>
      <c r="K19" s="45">
        <f t="shared" ref="K19:Z19" si="10">J19+1</f>
        <v>46083</v>
      </c>
      <c r="L19" s="45">
        <f t="shared" si="10"/>
        <v>46084</v>
      </c>
      <c r="M19" s="45">
        <f>L19+1</f>
        <v>46085</v>
      </c>
      <c r="N19" s="45"/>
      <c r="O19" s="45"/>
      <c r="P19" s="45">
        <f>M19+1</f>
        <v>46086</v>
      </c>
      <c r="Q19" s="45">
        <f>P19+1</f>
        <v>46087</v>
      </c>
      <c r="R19" s="45">
        <f t="shared" si="10"/>
        <v>46088</v>
      </c>
      <c r="S19" s="45">
        <f t="shared" si="10"/>
        <v>46089</v>
      </c>
      <c r="T19" s="45">
        <f t="shared" si="10"/>
        <v>46090</v>
      </c>
      <c r="U19" s="45">
        <f t="shared" si="10"/>
        <v>46091</v>
      </c>
      <c r="V19" s="45">
        <f>U19+1</f>
        <v>46092</v>
      </c>
      <c r="W19" s="45">
        <f t="shared" si="10"/>
        <v>46093</v>
      </c>
      <c r="X19" s="45">
        <f t="shared" si="10"/>
        <v>46094</v>
      </c>
      <c r="Y19" s="45">
        <f t="shared" si="10"/>
        <v>46095</v>
      </c>
      <c r="Z19" s="45">
        <f t="shared" si="10"/>
        <v>46096</v>
      </c>
      <c r="AA19" s="46"/>
      <c r="AB19" s="47"/>
      <c r="AC19" s="1"/>
      <c r="AD19" s="1"/>
      <c r="AE19" s="1"/>
    </row>
    <row r="20" spans="1:31" ht="15.75" customHeight="1" x14ac:dyDescent="0.2">
      <c r="A20" s="43"/>
      <c r="B20" s="155"/>
      <c r="C20" s="158"/>
      <c r="D20" s="138"/>
      <c r="E20" s="135"/>
      <c r="F20" s="39" t="s">
        <v>56</v>
      </c>
      <c r="G20" s="39" t="s">
        <v>57</v>
      </c>
      <c r="H20" s="39" t="s">
        <v>58</v>
      </c>
      <c r="I20" s="39" t="s">
        <v>59</v>
      </c>
      <c r="J20" s="57" t="str">
        <f t="shared" ref="J20:Z20" si="11">IF(J19="","",TEXT(WEEKDAY(J19), "ddd"))</f>
        <v>Sun</v>
      </c>
      <c r="K20" s="19" t="str">
        <f t="shared" si="11"/>
        <v>Mon</v>
      </c>
      <c r="L20" s="19" t="str">
        <f t="shared" si="11"/>
        <v>Tue</v>
      </c>
      <c r="M20" s="19" t="str">
        <f t="shared" si="11"/>
        <v>Wed</v>
      </c>
      <c r="N20" s="19"/>
      <c r="O20" s="19"/>
      <c r="P20" s="19" t="str">
        <f t="shared" si="11"/>
        <v>Thu</v>
      </c>
      <c r="Q20" s="19" t="str">
        <f t="shared" si="11"/>
        <v>Fri</v>
      </c>
      <c r="R20" s="57" t="str">
        <f t="shared" si="11"/>
        <v>Sat</v>
      </c>
      <c r="S20" s="57" t="str">
        <f t="shared" si="11"/>
        <v>Sun</v>
      </c>
      <c r="T20" s="19" t="str">
        <f t="shared" si="11"/>
        <v>Mon</v>
      </c>
      <c r="U20" s="19" t="str">
        <f t="shared" si="11"/>
        <v>Tue</v>
      </c>
      <c r="V20" s="19" t="str">
        <f t="shared" si="11"/>
        <v>Wed</v>
      </c>
      <c r="W20" s="19" t="str">
        <f t="shared" si="11"/>
        <v>Thu</v>
      </c>
      <c r="X20" s="19" t="str">
        <f t="shared" si="11"/>
        <v>Fri</v>
      </c>
      <c r="Y20" s="57" t="str">
        <f t="shared" si="11"/>
        <v>Sat</v>
      </c>
      <c r="Z20" s="57" t="str">
        <f t="shared" si="11"/>
        <v>Sun</v>
      </c>
      <c r="AA20" s="48"/>
      <c r="AB20" s="49"/>
      <c r="AC20" s="1"/>
      <c r="AD20" s="1"/>
      <c r="AE20" s="1"/>
    </row>
    <row r="21" spans="1:31" ht="12.75" customHeight="1" x14ac:dyDescent="0.2">
      <c r="A21" s="20"/>
      <c r="B21" s="8">
        <v>1</v>
      </c>
      <c r="C21" s="102" t="s">
        <v>21</v>
      </c>
      <c r="D21" s="103"/>
      <c r="E21" s="21" t="s">
        <v>60</v>
      </c>
      <c r="F21" s="22">
        <f t="shared" ref="F21:F24" si="12">G21</f>
        <v>72</v>
      </c>
      <c r="G21" s="22">
        <f t="shared" ref="G21:G31" si="13">H21+I21</f>
        <v>72</v>
      </c>
      <c r="H21" s="22">
        <f>SUM(J21:Z21)</f>
        <v>72</v>
      </c>
      <c r="I21" s="23">
        <v>0</v>
      </c>
      <c r="J21" s="58"/>
      <c r="K21" s="38">
        <v>8</v>
      </c>
      <c r="L21" s="38" t="s">
        <v>25</v>
      </c>
      <c r="M21" s="38">
        <v>8</v>
      </c>
      <c r="N21" s="66"/>
      <c r="O21" s="66"/>
      <c r="P21" s="66">
        <v>8</v>
      </c>
      <c r="Q21" s="38">
        <v>8</v>
      </c>
      <c r="R21" s="58"/>
      <c r="S21" s="58"/>
      <c r="T21" s="38">
        <v>8</v>
      </c>
      <c r="U21" s="38">
        <v>8</v>
      </c>
      <c r="V21" s="38">
        <v>8</v>
      </c>
      <c r="W21" s="38">
        <v>8</v>
      </c>
      <c r="X21" s="38">
        <v>8</v>
      </c>
      <c r="Y21" s="58"/>
      <c r="Z21" s="58"/>
      <c r="AA21" s="48"/>
      <c r="AB21" s="49"/>
      <c r="AC21" s="1"/>
      <c r="AD21" s="1"/>
      <c r="AE21" s="1"/>
    </row>
    <row r="22" spans="1:31" ht="12.75" customHeight="1" x14ac:dyDescent="0.2">
      <c r="A22" s="20"/>
      <c r="B22" s="8">
        <v>2</v>
      </c>
      <c r="C22" s="108" t="s">
        <v>27</v>
      </c>
      <c r="D22" s="103"/>
      <c r="E22" s="21" t="s">
        <v>61</v>
      </c>
      <c r="F22" s="22">
        <f t="shared" si="12"/>
        <v>80</v>
      </c>
      <c r="G22" s="22">
        <f t="shared" si="13"/>
        <v>80</v>
      </c>
      <c r="H22" s="22">
        <f t="shared" ref="H22:H24" si="14">SUM(J22:Z22)</f>
        <v>80</v>
      </c>
      <c r="I22" s="23">
        <v>0</v>
      </c>
      <c r="J22" s="58"/>
      <c r="K22" s="38">
        <v>8</v>
      </c>
      <c r="L22" s="38">
        <v>8</v>
      </c>
      <c r="M22" s="38">
        <v>8</v>
      </c>
      <c r="N22" s="38"/>
      <c r="O22" s="38"/>
      <c r="P22" s="38">
        <v>8</v>
      </c>
      <c r="Q22" s="38">
        <v>8</v>
      </c>
      <c r="R22" s="58"/>
      <c r="S22" s="58"/>
      <c r="T22" s="38">
        <v>8</v>
      </c>
      <c r="U22" s="38">
        <v>8</v>
      </c>
      <c r="V22" s="38">
        <v>8</v>
      </c>
      <c r="W22" s="38">
        <v>8</v>
      </c>
      <c r="X22" s="38">
        <v>8</v>
      </c>
      <c r="Y22" s="58"/>
      <c r="Z22" s="58"/>
      <c r="AA22" s="48"/>
      <c r="AB22" s="49"/>
      <c r="AC22" s="1"/>
      <c r="AD22" s="1"/>
      <c r="AE22" s="1"/>
    </row>
    <row r="23" spans="1:31" ht="12.75" customHeight="1" x14ac:dyDescent="0.2">
      <c r="A23" s="20"/>
      <c r="B23" s="8">
        <v>3</v>
      </c>
      <c r="C23" s="112" t="s">
        <v>31</v>
      </c>
      <c r="D23" s="103"/>
      <c r="E23" s="21" t="s">
        <v>62</v>
      </c>
      <c r="F23" s="22">
        <f t="shared" si="12"/>
        <v>80</v>
      </c>
      <c r="G23" s="22">
        <f t="shared" si="13"/>
        <v>80</v>
      </c>
      <c r="H23" s="22">
        <f t="shared" si="14"/>
        <v>80</v>
      </c>
      <c r="I23" s="23">
        <v>0</v>
      </c>
      <c r="J23" s="58"/>
      <c r="K23" s="38">
        <v>8</v>
      </c>
      <c r="L23" s="38">
        <v>8</v>
      </c>
      <c r="M23" s="38">
        <v>8</v>
      </c>
      <c r="N23" s="38"/>
      <c r="O23" s="38"/>
      <c r="P23" s="38">
        <v>8</v>
      </c>
      <c r="Q23" s="38">
        <v>8</v>
      </c>
      <c r="R23" s="58"/>
      <c r="S23" s="58"/>
      <c r="T23" s="38">
        <v>8</v>
      </c>
      <c r="U23" s="38">
        <v>8</v>
      </c>
      <c r="V23" s="38">
        <v>8</v>
      </c>
      <c r="W23" s="38">
        <v>8</v>
      </c>
      <c r="X23" s="38">
        <v>8</v>
      </c>
      <c r="Y23" s="58"/>
      <c r="Z23" s="58"/>
      <c r="AA23" s="50"/>
      <c r="AB23" s="51"/>
      <c r="AC23" s="1"/>
      <c r="AD23" s="1"/>
      <c r="AE23" s="1"/>
    </row>
    <row r="24" spans="1:31" ht="12.75" customHeight="1" x14ac:dyDescent="0.2">
      <c r="A24" s="20"/>
      <c r="B24" s="8">
        <v>5</v>
      </c>
      <c r="C24" s="112" t="s">
        <v>35</v>
      </c>
      <c r="D24" s="103"/>
      <c r="E24" s="21" t="s">
        <v>63</v>
      </c>
      <c r="F24" s="22">
        <f t="shared" si="12"/>
        <v>80</v>
      </c>
      <c r="G24" s="22">
        <f t="shared" si="13"/>
        <v>80</v>
      </c>
      <c r="H24" s="22">
        <f t="shared" si="14"/>
        <v>80</v>
      </c>
      <c r="I24" s="23">
        <v>0</v>
      </c>
      <c r="J24" s="58"/>
      <c r="K24" s="38">
        <v>8</v>
      </c>
      <c r="L24" s="38">
        <v>8</v>
      </c>
      <c r="M24" s="38">
        <v>8</v>
      </c>
      <c r="N24" s="38"/>
      <c r="O24" s="38"/>
      <c r="P24" s="38">
        <v>8</v>
      </c>
      <c r="Q24" s="38">
        <v>8</v>
      </c>
      <c r="R24" s="58"/>
      <c r="S24" s="58"/>
      <c r="T24" s="38">
        <v>8</v>
      </c>
      <c r="U24" s="38">
        <v>8</v>
      </c>
      <c r="V24" s="38">
        <v>8</v>
      </c>
      <c r="W24" s="38">
        <v>8</v>
      </c>
      <c r="X24" s="38">
        <v>8</v>
      </c>
      <c r="Y24" s="58"/>
      <c r="Z24" s="58"/>
      <c r="AA24" s="48"/>
      <c r="AB24" s="49"/>
      <c r="AC24" s="1"/>
      <c r="AD24" s="1"/>
      <c r="AE24" s="1"/>
    </row>
    <row r="25" spans="1:31" ht="12.75" customHeight="1" x14ac:dyDescent="0.2">
      <c r="A25" s="20"/>
      <c r="B25" s="64">
        <v>6</v>
      </c>
      <c r="C25" s="112" t="s">
        <v>38</v>
      </c>
      <c r="D25" s="103"/>
      <c r="E25" s="65" t="s">
        <v>64</v>
      </c>
      <c r="F25" s="22">
        <f t="shared" ref="F25:F30" si="15">G25</f>
        <v>80</v>
      </c>
      <c r="G25" s="22">
        <f t="shared" si="13"/>
        <v>80</v>
      </c>
      <c r="H25" s="22">
        <f t="shared" ref="H25:H30" si="16">SUM(J25:Z25)</f>
        <v>80</v>
      </c>
      <c r="I25" s="23">
        <v>0</v>
      </c>
      <c r="J25" s="58"/>
      <c r="K25" s="38">
        <v>8</v>
      </c>
      <c r="L25" s="66">
        <v>8</v>
      </c>
      <c r="M25" s="66">
        <v>8</v>
      </c>
      <c r="N25" s="66"/>
      <c r="O25" s="66"/>
      <c r="P25" s="66">
        <v>8</v>
      </c>
      <c r="Q25" s="38">
        <v>8</v>
      </c>
      <c r="R25" s="58"/>
      <c r="S25" s="58"/>
      <c r="T25" s="38">
        <v>8</v>
      </c>
      <c r="U25" s="38">
        <v>8</v>
      </c>
      <c r="V25" s="38">
        <v>8</v>
      </c>
      <c r="W25" s="38">
        <v>8</v>
      </c>
      <c r="X25" s="38">
        <v>8</v>
      </c>
      <c r="Y25" s="58"/>
      <c r="Z25" s="58"/>
      <c r="AA25" s="67"/>
      <c r="AB25" s="68"/>
      <c r="AC25" s="1"/>
      <c r="AD25" s="1"/>
      <c r="AE25" s="1"/>
    </row>
    <row r="26" spans="1:31" ht="12.75" customHeight="1" x14ac:dyDescent="0.2">
      <c r="A26" s="20"/>
      <c r="B26" s="64">
        <v>7</v>
      </c>
      <c r="C26" s="112" t="s">
        <v>41</v>
      </c>
      <c r="D26" s="103"/>
      <c r="E26" s="65" t="s">
        <v>42</v>
      </c>
      <c r="F26" s="22">
        <f t="shared" si="15"/>
        <v>80</v>
      </c>
      <c r="G26" s="22">
        <f t="shared" si="13"/>
        <v>80</v>
      </c>
      <c r="H26" s="22">
        <f t="shared" si="16"/>
        <v>80</v>
      </c>
      <c r="I26" s="23">
        <v>0</v>
      </c>
      <c r="J26" s="58"/>
      <c r="K26" s="38">
        <v>8</v>
      </c>
      <c r="L26" s="66">
        <v>8</v>
      </c>
      <c r="M26" s="66">
        <v>8</v>
      </c>
      <c r="N26" s="66"/>
      <c r="O26" s="66"/>
      <c r="P26" s="66">
        <v>8</v>
      </c>
      <c r="Q26" s="38">
        <v>8</v>
      </c>
      <c r="R26" s="58"/>
      <c r="S26" s="58"/>
      <c r="T26" s="38">
        <v>8</v>
      </c>
      <c r="U26" s="38">
        <v>8</v>
      </c>
      <c r="V26" s="38">
        <v>8</v>
      </c>
      <c r="W26" s="38">
        <v>8</v>
      </c>
      <c r="X26" s="38">
        <v>8</v>
      </c>
      <c r="Y26" s="58"/>
      <c r="Z26" s="58"/>
      <c r="AA26" s="67"/>
      <c r="AB26" s="68"/>
      <c r="AC26" s="1"/>
      <c r="AD26" s="1"/>
      <c r="AE26" s="1"/>
    </row>
    <row r="27" spans="1:31" ht="12.75" customHeight="1" x14ac:dyDescent="0.2">
      <c r="A27" s="20"/>
      <c r="B27" s="64">
        <v>9</v>
      </c>
      <c r="C27" s="112" t="s">
        <v>44</v>
      </c>
      <c r="D27" s="103"/>
      <c r="E27" s="65" t="s">
        <v>28</v>
      </c>
      <c r="F27" s="22">
        <f t="shared" si="15"/>
        <v>64</v>
      </c>
      <c r="G27" s="22">
        <f t="shared" si="13"/>
        <v>64</v>
      </c>
      <c r="H27" s="22">
        <f t="shared" si="16"/>
        <v>64</v>
      </c>
      <c r="I27" s="23">
        <v>0</v>
      </c>
      <c r="J27" s="58"/>
      <c r="K27" s="66">
        <v>8</v>
      </c>
      <c r="L27" s="66">
        <v>8</v>
      </c>
      <c r="M27" s="66">
        <v>8</v>
      </c>
      <c r="N27" s="66"/>
      <c r="O27" s="66"/>
      <c r="P27" s="66">
        <v>8</v>
      </c>
      <c r="Q27" s="38">
        <v>8</v>
      </c>
      <c r="R27" s="58"/>
      <c r="S27" s="58"/>
      <c r="T27" s="38">
        <v>8</v>
      </c>
      <c r="U27" s="38">
        <v>8</v>
      </c>
      <c r="V27" s="38">
        <v>8</v>
      </c>
      <c r="W27" s="38" t="s">
        <v>25</v>
      </c>
      <c r="X27" s="38" t="s">
        <v>25</v>
      </c>
      <c r="Y27" s="58"/>
      <c r="Z27" s="58"/>
      <c r="AA27" s="67"/>
      <c r="AB27" s="68"/>
      <c r="AC27" s="1"/>
      <c r="AD27" s="1"/>
      <c r="AE27" s="1"/>
    </row>
    <row r="28" spans="1:31" ht="12.75" customHeight="1" x14ac:dyDescent="0.2">
      <c r="A28" s="20"/>
      <c r="B28" s="64">
        <v>10</v>
      </c>
      <c r="C28" s="132" t="s">
        <v>47</v>
      </c>
      <c r="D28" s="133"/>
      <c r="E28" s="65" t="s">
        <v>28</v>
      </c>
      <c r="F28" s="22">
        <f t="shared" si="15"/>
        <v>72</v>
      </c>
      <c r="G28" s="22">
        <f t="shared" si="13"/>
        <v>72</v>
      </c>
      <c r="H28" s="22">
        <f t="shared" si="16"/>
        <v>72</v>
      </c>
      <c r="I28" s="70">
        <v>0</v>
      </c>
      <c r="J28" s="73"/>
      <c r="K28" s="66">
        <v>8</v>
      </c>
      <c r="L28" s="66">
        <v>8</v>
      </c>
      <c r="M28" s="66" t="s">
        <v>25</v>
      </c>
      <c r="N28" s="66"/>
      <c r="O28" s="66"/>
      <c r="P28" s="66">
        <v>8</v>
      </c>
      <c r="Q28" s="66">
        <v>8</v>
      </c>
      <c r="R28" s="73"/>
      <c r="S28" s="73"/>
      <c r="T28" s="66">
        <v>8</v>
      </c>
      <c r="U28" s="66">
        <v>8</v>
      </c>
      <c r="V28" s="66">
        <v>8</v>
      </c>
      <c r="W28" s="66">
        <v>8</v>
      </c>
      <c r="X28" s="66">
        <v>8</v>
      </c>
      <c r="Y28" s="73"/>
      <c r="Z28" s="73"/>
      <c r="AA28" s="67"/>
      <c r="AB28" s="68"/>
      <c r="AC28" s="1"/>
      <c r="AD28" s="1"/>
      <c r="AE28" s="1"/>
    </row>
    <row r="29" spans="1:31" ht="12.75" customHeight="1" x14ac:dyDescent="0.2">
      <c r="A29" s="20"/>
      <c r="B29" s="64">
        <v>11</v>
      </c>
      <c r="C29" s="84" t="s">
        <v>49</v>
      </c>
      <c r="D29" s="85"/>
      <c r="E29" s="65" t="s">
        <v>65</v>
      </c>
      <c r="F29" s="22">
        <f t="shared" si="15"/>
        <v>80</v>
      </c>
      <c r="G29" s="22">
        <f t="shared" si="13"/>
        <v>80</v>
      </c>
      <c r="H29" s="22">
        <f t="shared" si="16"/>
        <v>80</v>
      </c>
      <c r="I29" s="70">
        <v>0</v>
      </c>
      <c r="J29" s="73"/>
      <c r="K29" s="66">
        <v>8</v>
      </c>
      <c r="L29" s="66">
        <v>8</v>
      </c>
      <c r="M29" s="66">
        <v>8</v>
      </c>
      <c r="N29" s="66"/>
      <c r="O29" s="66"/>
      <c r="P29" s="66">
        <v>8</v>
      </c>
      <c r="Q29" s="66">
        <v>8</v>
      </c>
      <c r="R29" s="73"/>
      <c r="S29" s="73"/>
      <c r="T29" s="66">
        <v>8</v>
      </c>
      <c r="U29" s="66">
        <v>8</v>
      </c>
      <c r="V29" s="66">
        <v>8</v>
      </c>
      <c r="W29" s="66">
        <v>8</v>
      </c>
      <c r="X29" s="66">
        <v>8</v>
      </c>
      <c r="Y29" s="73"/>
      <c r="Z29" s="73"/>
      <c r="AA29" s="67"/>
      <c r="AB29" s="68"/>
      <c r="AC29" s="1"/>
      <c r="AD29" s="1"/>
      <c r="AE29" s="1"/>
    </row>
    <row r="30" spans="1:31" x14ac:dyDescent="0.2">
      <c r="A30" s="20"/>
      <c r="B30" s="64">
        <v>12</v>
      </c>
      <c r="C30" s="132" t="s">
        <v>53</v>
      </c>
      <c r="D30" s="133"/>
      <c r="E30" s="65" t="s">
        <v>54</v>
      </c>
      <c r="F30" s="22">
        <f t="shared" si="15"/>
        <v>0</v>
      </c>
      <c r="G30" s="22">
        <f t="shared" si="13"/>
        <v>0</v>
      </c>
      <c r="H30" s="22">
        <f t="shared" si="16"/>
        <v>0</v>
      </c>
      <c r="I30" s="70">
        <v>0</v>
      </c>
      <c r="J30" s="73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3"/>
      <c r="Z30" s="73"/>
      <c r="AA30" s="67"/>
      <c r="AB30" s="68"/>
      <c r="AC30" s="1"/>
      <c r="AD30" s="1"/>
      <c r="AE30" s="1"/>
    </row>
    <row r="31" spans="1:31" ht="12.75" customHeight="1" x14ac:dyDescent="0.2">
      <c r="A31" s="2"/>
      <c r="B31" s="24"/>
      <c r="C31" s="163"/>
      <c r="D31" s="96"/>
      <c r="E31" s="25"/>
      <c r="F31" s="52">
        <f>G31</f>
        <v>312</v>
      </c>
      <c r="G31" s="52">
        <f t="shared" si="13"/>
        <v>312</v>
      </c>
      <c r="H31" s="52">
        <f t="shared" ref="H31:Z31" si="17">SUM(H21:H24)</f>
        <v>312</v>
      </c>
      <c r="I31" s="52">
        <f t="shared" si="17"/>
        <v>0</v>
      </c>
      <c r="J31" s="52">
        <f t="shared" si="17"/>
        <v>0</v>
      </c>
      <c r="K31" s="52">
        <f t="shared" si="17"/>
        <v>32</v>
      </c>
      <c r="L31" s="52">
        <f t="shared" si="17"/>
        <v>24</v>
      </c>
      <c r="M31" s="52">
        <f t="shared" si="17"/>
        <v>32</v>
      </c>
      <c r="N31" s="52"/>
      <c r="O31" s="52"/>
      <c r="P31" s="52">
        <f t="shared" si="17"/>
        <v>32</v>
      </c>
      <c r="Q31" s="52">
        <f t="shared" si="17"/>
        <v>32</v>
      </c>
      <c r="R31" s="52">
        <f t="shared" si="17"/>
        <v>0</v>
      </c>
      <c r="S31" s="52">
        <f t="shared" si="17"/>
        <v>0</v>
      </c>
      <c r="T31" s="52">
        <f t="shared" si="17"/>
        <v>32</v>
      </c>
      <c r="U31" s="52">
        <f t="shared" si="17"/>
        <v>32</v>
      </c>
      <c r="V31" s="52">
        <f t="shared" si="17"/>
        <v>32</v>
      </c>
      <c r="W31" s="52">
        <f t="shared" si="17"/>
        <v>32</v>
      </c>
      <c r="X31" s="52">
        <f t="shared" si="17"/>
        <v>32</v>
      </c>
      <c r="Y31" s="52">
        <f t="shared" si="17"/>
        <v>0</v>
      </c>
      <c r="Z31" s="52">
        <f t="shared" si="17"/>
        <v>0</v>
      </c>
      <c r="AA31" s="53"/>
      <c r="AB31" s="54"/>
      <c r="AC31" s="1"/>
      <c r="AD31" s="1"/>
      <c r="AE31" s="1"/>
    </row>
    <row r="32" spans="1:31" ht="12.75" customHeight="1" x14ac:dyDescent="0.2">
      <c r="A32" s="2"/>
      <c r="B32" s="74"/>
      <c r="C32" s="74"/>
      <c r="D32" s="72"/>
      <c r="E32" s="75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7"/>
      <c r="AB32" s="77"/>
      <c r="AC32" s="1"/>
      <c r="AD32" s="1"/>
      <c r="AE32" s="1"/>
    </row>
    <row r="33" spans="1:32" ht="12.75" customHeight="1" x14ac:dyDescent="0.2">
      <c r="A33" s="2"/>
      <c r="B33" s="2"/>
      <c r="C33" s="1"/>
      <c r="D33" s="1"/>
      <c r="E33" s="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1"/>
    </row>
    <row r="34" spans="1:32" ht="18" customHeight="1" x14ac:dyDescent="0.2">
      <c r="A34" s="30"/>
      <c r="B34" s="159" t="s">
        <v>36</v>
      </c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1"/>
      <c r="AB34" s="162"/>
      <c r="AC34" s="35"/>
      <c r="AD34" s="26"/>
      <c r="AE34" s="1"/>
    </row>
    <row r="35" spans="1:32" ht="12.75" customHeight="1" x14ac:dyDescent="0.2">
      <c r="A35" s="43"/>
      <c r="B35" s="164" t="s">
        <v>2</v>
      </c>
      <c r="C35" s="156" t="s">
        <v>4</v>
      </c>
      <c r="D35" s="157"/>
      <c r="E35" s="134" t="s">
        <v>55</v>
      </c>
      <c r="F35" s="136" t="s">
        <v>16</v>
      </c>
      <c r="G35" s="137"/>
      <c r="H35" s="137"/>
      <c r="I35" s="138"/>
      <c r="J35" s="45">
        <f>Z19+1</f>
        <v>46097</v>
      </c>
      <c r="K35" s="45">
        <f t="shared" ref="K35:X35" si="18">J35+1</f>
        <v>46098</v>
      </c>
      <c r="L35" s="45">
        <f t="shared" si="18"/>
        <v>46099</v>
      </c>
      <c r="M35" s="45">
        <f>L35+1</f>
        <v>46100</v>
      </c>
      <c r="N35" s="45"/>
      <c r="O35" s="45"/>
      <c r="P35" s="45">
        <f>M35+1</f>
        <v>46101</v>
      </c>
      <c r="Q35" s="45">
        <f>P35+1</f>
        <v>46102</v>
      </c>
      <c r="R35" s="45">
        <f t="shared" si="18"/>
        <v>46103</v>
      </c>
      <c r="S35" s="45">
        <f t="shared" si="18"/>
        <v>46104</v>
      </c>
      <c r="T35" s="45">
        <f t="shared" si="18"/>
        <v>46105</v>
      </c>
      <c r="U35" s="45">
        <f t="shared" si="18"/>
        <v>46106</v>
      </c>
      <c r="V35" s="45">
        <f>U35+1</f>
        <v>46107</v>
      </c>
      <c r="W35" s="45">
        <f t="shared" si="18"/>
        <v>46108</v>
      </c>
      <c r="X35" s="45">
        <f t="shared" si="18"/>
        <v>46109</v>
      </c>
      <c r="Y35" s="45">
        <f t="shared" ref="Y35:AA35" si="19">X35+1</f>
        <v>46110</v>
      </c>
      <c r="Z35" s="45">
        <f t="shared" si="19"/>
        <v>46111</v>
      </c>
      <c r="AA35" s="45">
        <f t="shared" si="19"/>
        <v>46112</v>
      </c>
      <c r="AB35" s="59"/>
      <c r="AD35" s="26"/>
      <c r="AE35" s="26"/>
      <c r="AF35" s="1"/>
    </row>
    <row r="36" spans="1:32" ht="17.25" customHeight="1" x14ac:dyDescent="0.2">
      <c r="A36" s="43"/>
      <c r="B36" s="165"/>
      <c r="C36" s="158"/>
      <c r="D36" s="138"/>
      <c r="E36" s="135"/>
      <c r="F36" s="39" t="s">
        <v>56</v>
      </c>
      <c r="G36" s="39" t="s">
        <v>57</v>
      </c>
      <c r="H36" s="39" t="s">
        <v>58</v>
      </c>
      <c r="I36" s="39" t="s">
        <v>59</v>
      </c>
      <c r="J36" s="19" t="str">
        <f t="shared" ref="J36:AA36" si="20">IF(J35="","",TEXT(WEEKDAY(J35), "ddd"))</f>
        <v>Mon</v>
      </c>
      <c r="K36" s="19" t="str">
        <f t="shared" si="20"/>
        <v>Tue</v>
      </c>
      <c r="L36" s="19" t="str">
        <f t="shared" si="20"/>
        <v>Wed</v>
      </c>
      <c r="M36" s="19" t="str">
        <f t="shared" si="20"/>
        <v>Thu</v>
      </c>
      <c r="N36" s="19"/>
      <c r="O36" s="19"/>
      <c r="P36" s="19" t="str">
        <f t="shared" si="20"/>
        <v>Fri</v>
      </c>
      <c r="Q36" s="57" t="str">
        <f t="shared" si="20"/>
        <v>Sat</v>
      </c>
      <c r="R36" s="57" t="str">
        <f t="shared" si="20"/>
        <v>Sun</v>
      </c>
      <c r="S36" s="19" t="str">
        <f t="shared" si="20"/>
        <v>Mon</v>
      </c>
      <c r="T36" s="19" t="str">
        <f t="shared" si="20"/>
        <v>Tue</v>
      </c>
      <c r="U36" s="19" t="str">
        <f t="shared" si="20"/>
        <v>Wed</v>
      </c>
      <c r="V36" s="19" t="str">
        <f t="shared" si="20"/>
        <v>Thu</v>
      </c>
      <c r="W36" s="19" t="str">
        <f t="shared" si="20"/>
        <v>Fri</v>
      </c>
      <c r="X36" s="57" t="str">
        <f t="shared" si="20"/>
        <v>Sat</v>
      </c>
      <c r="Y36" s="57" t="str">
        <f t="shared" si="20"/>
        <v>Sun</v>
      </c>
      <c r="Z36" s="19" t="str">
        <f t="shared" si="20"/>
        <v>Mon</v>
      </c>
      <c r="AA36" s="19" t="str">
        <f t="shared" si="20"/>
        <v>Tue</v>
      </c>
      <c r="AB36" s="60"/>
      <c r="AD36" s="26"/>
      <c r="AE36" s="26"/>
      <c r="AF36" s="1"/>
    </row>
    <row r="37" spans="1:32" ht="12.75" customHeight="1" x14ac:dyDescent="0.2">
      <c r="A37" s="31"/>
      <c r="B37" s="36">
        <v>1</v>
      </c>
      <c r="C37" s="102" t="s">
        <v>21</v>
      </c>
      <c r="D37" s="103"/>
      <c r="E37" s="21" t="s">
        <v>60</v>
      </c>
      <c r="F37" s="22">
        <f t="shared" ref="F37:F47" si="21">G37</f>
        <v>96</v>
      </c>
      <c r="G37" s="22">
        <f>H37+I37</f>
        <v>96</v>
      </c>
      <c r="H37" s="22">
        <f>SUM(J37:AA37)</f>
        <v>96</v>
      </c>
      <c r="I37" s="27">
        <v>0</v>
      </c>
      <c r="J37" s="38">
        <v>8</v>
      </c>
      <c r="K37" s="38">
        <v>8</v>
      </c>
      <c r="L37" s="38">
        <v>8</v>
      </c>
      <c r="M37" s="38">
        <v>8</v>
      </c>
      <c r="N37" s="38"/>
      <c r="O37" s="38"/>
      <c r="P37" s="38">
        <v>8</v>
      </c>
      <c r="Q37" s="58"/>
      <c r="R37" s="58"/>
      <c r="S37" s="38">
        <v>8</v>
      </c>
      <c r="T37" s="38">
        <v>8</v>
      </c>
      <c r="U37" s="38">
        <v>8</v>
      </c>
      <c r="V37" s="38">
        <v>8</v>
      </c>
      <c r="W37" s="38">
        <v>8</v>
      </c>
      <c r="X37" s="58"/>
      <c r="Y37" s="58"/>
      <c r="Z37" s="38">
        <v>8</v>
      </c>
      <c r="AA37" s="38">
        <v>8</v>
      </c>
      <c r="AB37" s="60"/>
      <c r="AD37" s="26"/>
      <c r="AE37" s="26"/>
      <c r="AF37" s="1"/>
    </row>
    <row r="38" spans="1:32" ht="12.75" customHeight="1" x14ac:dyDescent="0.2">
      <c r="A38" s="31"/>
      <c r="B38" s="36">
        <v>2</v>
      </c>
      <c r="C38" s="108" t="s">
        <v>27</v>
      </c>
      <c r="D38" s="103"/>
      <c r="E38" s="21" t="s">
        <v>61</v>
      </c>
      <c r="F38" s="22">
        <f>G38</f>
        <v>56</v>
      </c>
      <c r="G38" s="22">
        <f>H38+I38</f>
        <v>56</v>
      </c>
      <c r="H38" s="22">
        <f>SUM(J38:AA38)</f>
        <v>56</v>
      </c>
      <c r="I38" s="27">
        <v>0</v>
      </c>
      <c r="J38" s="38">
        <v>8</v>
      </c>
      <c r="K38" s="38">
        <v>8</v>
      </c>
      <c r="L38" s="38">
        <v>8</v>
      </c>
      <c r="M38" s="38">
        <v>8</v>
      </c>
      <c r="N38" s="38"/>
      <c r="O38" s="38"/>
      <c r="P38" s="38">
        <v>8</v>
      </c>
      <c r="Q38" s="58"/>
      <c r="R38" s="58"/>
      <c r="S38" s="38">
        <v>8</v>
      </c>
      <c r="T38" s="38">
        <v>8</v>
      </c>
      <c r="U38" s="60"/>
      <c r="V38" s="60"/>
      <c r="W38" s="60"/>
      <c r="X38" s="58"/>
      <c r="Y38" s="58"/>
      <c r="Z38" s="60"/>
      <c r="AA38" s="60"/>
      <c r="AB38" s="60"/>
      <c r="AD38" s="26"/>
      <c r="AE38" s="26"/>
      <c r="AF38" s="1"/>
    </row>
    <row r="39" spans="1:32" ht="12.75" customHeight="1" x14ac:dyDescent="0.2">
      <c r="A39" s="31"/>
      <c r="B39" s="36">
        <v>3</v>
      </c>
      <c r="C39" s="112" t="s">
        <v>31</v>
      </c>
      <c r="D39" s="103"/>
      <c r="E39" s="21" t="s">
        <v>62</v>
      </c>
      <c r="F39" s="22">
        <f t="shared" si="21"/>
        <v>96</v>
      </c>
      <c r="G39" s="22">
        <f>H39+I39</f>
        <v>96</v>
      </c>
      <c r="H39" s="22">
        <f t="shared" ref="H39" si="22">SUM(J39:AA39)</f>
        <v>96</v>
      </c>
      <c r="I39" s="27">
        <v>0</v>
      </c>
      <c r="J39" s="38">
        <v>8</v>
      </c>
      <c r="K39" s="38">
        <v>8</v>
      </c>
      <c r="L39" s="38">
        <v>8</v>
      </c>
      <c r="M39" s="38">
        <v>8</v>
      </c>
      <c r="N39" s="38"/>
      <c r="O39" s="38"/>
      <c r="P39" s="38">
        <v>8</v>
      </c>
      <c r="Q39" s="58"/>
      <c r="R39" s="58"/>
      <c r="S39" s="38">
        <v>8</v>
      </c>
      <c r="T39" s="38">
        <v>8</v>
      </c>
      <c r="U39" s="38">
        <v>8</v>
      </c>
      <c r="V39" s="38">
        <v>8</v>
      </c>
      <c r="W39" s="38">
        <v>8</v>
      </c>
      <c r="X39" s="58"/>
      <c r="Y39" s="58"/>
      <c r="Z39" s="38">
        <v>8</v>
      </c>
      <c r="AA39" s="38">
        <v>8</v>
      </c>
      <c r="AB39" s="60"/>
      <c r="AD39" s="26"/>
      <c r="AE39" s="26"/>
      <c r="AF39" s="1"/>
    </row>
    <row r="40" spans="1:32" ht="12.75" customHeight="1" x14ac:dyDescent="0.2">
      <c r="A40" s="31"/>
      <c r="B40" s="36">
        <v>5</v>
      </c>
      <c r="C40" s="112" t="s">
        <v>35</v>
      </c>
      <c r="D40" s="103"/>
      <c r="E40" s="21" t="s">
        <v>63</v>
      </c>
      <c r="F40" s="22">
        <v>80</v>
      </c>
      <c r="G40" s="22">
        <v>80</v>
      </c>
      <c r="H40" s="22">
        <v>80</v>
      </c>
      <c r="I40" s="27">
        <v>0</v>
      </c>
      <c r="J40" s="38">
        <v>8</v>
      </c>
      <c r="K40" s="38">
        <v>8</v>
      </c>
      <c r="L40" s="38">
        <v>8</v>
      </c>
      <c r="M40" s="38">
        <v>8</v>
      </c>
      <c r="N40" s="38"/>
      <c r="O40" s="38"/>
      <c r="P40" s="38">
        <v>8</v>
      </c>
      <c r="Q40" s="58"/>
      <c r="R40" s="58"/>
      <c r="S40" s="38">
        <v>8</v>
      </c>
      <c r="T40" s="38">
        <v>8</v>
      </c>
      <c r="U40" s="38">
        <v>8</v>
      </c>
      <c r="V40" s="38">
        <v>8</v>
      </c>
      <c r="W40" s="38">
        <v>8</v>
      </c>
      <c r="X40" s="58"/>
      <c r="Y40" s="58"/>
      <c r="Z40" s="38">
        <v>8</v>
      </c>
      <c r="AA40" s="38">
        <v>8</v>
      </c>
      <c r="AB40" s="60"/>
      <c r="AD40" s="26"/>
      <c r="AE40" s="26"/>
      <c r="AF40" s="1"/>
    </row>
    <row r="41" spans="1:32" ht="12.75" customHeight="1" x14ac:dyDescent="0.2">
      <c r="A41" s="31"/>
      <c r="B41" s="64">
        <v>6</v>
      </c>
      <c r="C41" s="112" t="s">
        <v>38</v>
      </c>
      <c r="D41" s="103"/>
      <c r="E41" s="65" t="s">
        <v>64</v>
      </c>
      <c r="F41" s="22">
        <f t="shared" si="21"/>
        <v>88</v>
      </c>
      <c r="G41" s="22">
        <f t="shared" ref="G41:G47" si="23">H41+I41</f>
        <v>88</v>
      </c>
      <c r="H41" s="22">
        <f t="shared" ref="H41:H46" si="24">SUM(J41:AA41)</f>
        <v>88</v>
      </c>
      <c r="I41" s="23">
        <v>0</v>
      </c>
      <c r="J41" s="38">
        <v>8</v>
      </c>
      <c r="K41" s="66">
        <v>8</v>
      </c>
      <c r="L41" s="66">
        <v>8</v>
      </c>
      <c r="M41" s="93" t="s">
        <v>25</v>
      </c>
      <c r="N41" s="93"/>
      <c r="O41" s="93"/>
      <c r="P41" s="38">
        <v>8</v>
      </c>
      <c r="Q41" s="58"/>
      <c r="R41" s="58"/>
      <c r="S41" s="38">
        <v>8</v>
      </c>
      <c r="T41" s="38">
        <v>8</v>
      </c>
      <c r="U41" s="38">
        <v>8</v>
      </c>
      <c r="V41" s="38">
        <v>8</v>
      </c>
      <c r="W41" s="38">
        <v>8</v>
      </c>
      <c r="X41" s="58"/>
      <c r="Y41" s="58"/>
      <c r="Z41" s="38">
        <v>8</v>
      </c>
      <c r="AA41" s="38">
        <v>8</v>
      </c>
      <c r="AB41" s="69"/>
      <c r="AD41" s="26"/>
      <c r="AE41" s="26"/>
      <c r="AF41" s="1"/>
    </row>
    <row r="42" spans="1:32" ht="12.75" customHeight="1" x14ac:dyDescent="0.2">
      <c r="A42" s="31"/>
      <c r="B42" s="64">
        <v>7</v>
      </c>
      <c r="C42" s="112" t="s">
        <v>41</v>
      </c>
      <c r="D42" s="103"/>
      <c r="E42" s="65" t="s">
        <v>42</v>
      </c>
      <c r="F42" s="22">
        <f t="shared" si="21"/>
        <v>80</v>
      </c>
      <c r="G42" s="22">
        <f t="shared" si="23"/>
        <v>80</v>
      </c>
      <c r="H42" s="22">
        <f t="shared" si="24"/>
        <v>80</v>
      </c>
      <c r="I42" s="23">
        <v>0</v>
      </c>
      <c r="J42" s="38">
        <v>8</v>
      </c>
      <c r="K42" s="66">
        <v>8</v>
      </c>
      <c r="L42" s="66">
        <v>8</v>
      </c>
      <c r="M42" s="93" t="s">
        <v>25</v>
      </c>
      <c r="N42" s="93"/>
      <c r="O42" s="93"/>
      <c r="P42" s="38">
        <v>8</v>
      </c>
      <c r="Q42" s="58"/>
      <c r="R42" s="58"/>
      <c r="S42" s="38">
        <v>8</v>
      </c>
      <c r="T42" s="38">
        <v>8</v>
      </c>
      <c r="U42" s="38">
        <v>8</v>
      </c>
      <c r="V42" s="38">
        <v>8</v>
      </c>
      <c r="W42" s="38">
        <v>8</v>
      </c>
      <c r="X42" s="58"/>
      <c r="Y42" s="58"/>
      <c r="Z42" s="38" t="s">
        <v>25</v>
      </c>
      <c r="AA42" s="38">
        <v>8</v>
      </c>
      <c r="AB42" s="69"/>
      <c r="AD42" s="26"/>
      <c r="AE42" s="26"/>
      <c r="AF42" s="1"/>
    </row>
    <row r="43" spans="1:32" ht="12.75" customHeight="1" x14ac:dyDescent="0.2">
      <c r="A43" s="31"/>
      <c r="B43" s="86">
        <v>9</v>
      </c>
      <c r="C43" s="153" t="s">
        <v>44</v>
      </c>
      <c r="D43" s="103"/>
      <c r="E43" s="65" t="s">
        <v>28</v>
      </c>
      <c r="F43" s="22">
        <f t="shared" si="21"/>
        <v>80</v>
      </c>
      <c r="G43" s="22">
        <f t="shared" si="23"/>
        <v>80</v>
      </c>
      <c r="H43" s="22">
        <f t="shared" si="24"/>
        <v>80</v>
      </c>
      <c r="I43" s="70">
        <v>0</v>
      </c>
      <c r="J43" s="66">
        <v>8</v>
      </c>
      <c r="K43" s="66">
        <v>8</v>
      </c>
      <c r="L43" s="66">
        <v>8</v>
      </c>
      <c r="M43" s="93" t="s">
        <v>25</v>
      </c>
      <c r="N43" s="93"/>
      <c r="O43" s="93"/>
      <c r="P43" s="38" t="s">
        <v>25</v>
      </c>
      <c r="Q43" s="58"/>
      <c r="R43" s="58"/>
      <c r="S43" s="38">
        <v>8</v>
      </c>
      <c r="T43" s="38">
        <v>8</v>
      </c>
      <c r="U43" s="38">
        <v>8</v>
      </c>
      <c r="V43" s="38">
        <v>8</v>
      </c>
      <c r="W43" s="38">
        <v>8</v>
      </c>
      <c r="X43" s="58"/>
      <c r="Y43" s="58"/>
      <c r="Z43" s="38">
        <v>8</v>
      </c>
      <c r="AA43" s="38">
        <v>8</v>
      </c>
      <c r="AB43" s="69"/>
      <c r="AD43" s="26"/>
      <c r="AE43" s="26"/>
      <c r="AF43" s="1"/>
    </row>
    <row r="44" spans="1:32" ht="12.75" customHeight="1" x14ac:dyDescent="0.2">
      <c r="A44" s="31"/>
      <c r="B44" s="86">
        <v>10</v>
      </c>
      <c r="C44" s="132" t="s">
        <v>47</v>
      </c>
      <c r="D44" s="133"/>
      <c r="E44" s="65" t="s">
        <v>28</v>
      </c>
      <c r="F44" s="22">
        <f t="shared" si="21"/>
        <v>96</v>
      </c>
      <c r="G44" s="22">
        <f t="shared" si="23"/>
        <v>96</v>
      </c>
      <c r="H44" s="22">
        <f t="shared" si="24"/>
        <v>96</v>
      </c>
      <c r="I44" s="70">
        <v>0</v>
      </c>
      <c r="J44" s="66">
        <v>8</v>
      </c>
      <c r="K44" s="66">
        <v>8</v>
      </c>
      <c r="L44" s="66">
        <v>8</v>
      </c>
      <c r="M44" s="66">
        <v>8</v>
      </c>
      <c r="N44" s="66"/>
      <c r="O44" s="66"/>
      <c r="P44" s="66">
        <v>8</v>
      </c>
      <c r="Q44" s="73"/>
      <c r="R44" s="73"/>
      <c r="S44" s="66">
        <v>8</v>
      </c>
      <c r="T44" s="66">
        <v>8</v>
      </c>
      <c r="U44" s="66">
        <v>8</v>
      </c>
      <c r="V44" s="66">
        <v>8</v>
      </c>
      <c r="W44" s="66">
        <v>8</v>
      </c>
      <c r="X44" s="73"/>
      <c r="Y44" s="73"/>
      <c r="Z44" s="66">
        <v>8</v>
      </c>
      <c r="AA44" s="66">
        <v>8</v>
      </c>
      <c r="AB44" s="69"/>
      <c r="AD44" s="26"/>
      <c r="AE44" s="26"/>
      <c r="AF44" s="1"/>
    </row>
    <row r="45" spans="1:32" ht="12.75" customHeight="1" x14ac:dyDescent="0.2">
      <c r="A45" s="31"/>
      <c r="B45" s="88">
        <v>11</v>
      </c>
      <c r="C45" s="151" t="s">
        <v>49</v>
      </c>
      <c r="D45" s="152"/>
      <c r="E45" s="89" t="s">
        <v>65</v>
      </c>
      <c r="F45" s="22">
        <f t="shared" si="21"/>
        <v>88</v>
      </c>
      <c r="G45" s="22">
        <f t="shared" si="23"/>
        <v>88</v>
      </c>
      <c r="H45" s="22">
        <f t="shared" si="24"/>
        <v>88</v>
      </c>
      <c r="I45" s="70">
        <v>0</v>
      </c>
      <c r="J45" s="66">
        <v>8</v>
      </c>
      <c r="K45" s="66">
        <v>8</v>
      </c>
      <c r="L45" s="66">
        <v>8</v>
      </c>
      <c r="M45" s="90" t="s">
        <v>25</v>
      </c>
      <c r="N45" s="90"/>
      <c r="O45" s="90"/>
      <c r="P45" s="66">
        <v>8</v>
      </c>
      <c r="Q45" s="73"/>
      <c r="R45" s="73"/>
      <c r="S45" s="66">
        <v>8</v>
      </c>
      <c r="T45" s="66">
        <v>8</v>
      </c>
      <c r="U45" s="66">
        <v>8</v>
      </c>
      <c r="V45" s="66">
        <v>8</v>
      </c>
      <c r="W45" s="66">
        <v>8</v>
      </c>
      <c r="X45" s="73"/>
      <c r="Y45" s="73"/>
      <c r="Z45" s="66">
        <v>8</v>
      </c>
      <c r="AA45" s="66">
        <v>8</v>
      </c>
      <c r="AB45" s="69"/>
      <c r="AD45" s="26"/>
      <c r="AE45" s="26"/>
      <c r="AF45" s="1"/>
    </row>
    <row r="46" spans="1:32" ht="12.75" customHeight="1" x14ac:dyDescent="0.2">
      <c r="A46" s="31"/>
      <c r="B46" s="88">
        <v>12</v>
      </c>
      <c r="C46" s="132" t="s">
        <v>53</v>
      </c>
      <c r="D46" s="133"/>
      <c r="E46" s="89" t="s">
        <v>54</v>
      </c>
      <c r="F46" s="22">
        <f t="shared" si="21"/>
        <v>72</v>
      </c>
      <c r="G46" s="22">
        <f t="shared" si="23"/>
        <v>72</v>
      </c>
      <c r="H46" s="22">
        <f t="shared" si="24"/>
        <v>72</v>
      </c>
      <c r="I46" s="70">
        <v>0</v>
      </c>
      <c r="J46" s="66"/>
      <c r="K46" s="66"/>
      <c r="L46" s="66">
        <v>8</v>
      </c>
      <c r="M46" s="66" t="s">
        <v>25</v>
      </c>
      <c r="N46" s="66"/>
      <c r="O46" s="66"/>
      <c r="P46" s="66">
        <v>8</v>
      </c>
      <c r="Q46" s="73"/>
      <c r="R46" s="73"/>
      <c r="S46" s="66">
        <v>8</v>
      </c>
      <c r="T46" s="66">
        <v>8</v>
      </c>
      <c r="U46" s="66">
        <v>8</v>
      </c>
      <c r="V46" s="66">
        <v>8</v>
      </c>
      <c r="W46" s="66">
        <v>8</v>
      </c>
      <c r="X46" s="73"/>
      <c r="Y46" s="73"/>
      <c r="Z46" s="92">
        <v>8</v>
      </c>
      <c r="AA46" s="66">
        <v>8</v>
      </c>
      <c r="AB46" s="69"/>
      <c r="AD46" s="26"/>
      <c r="AE46" s="26"/>
      <c r="AF46" s="1"/>
    </row>
    <row r="47" spans="1:32" ht="12.75" customHeight="1" x14ac:dyDescent="0.2">
      <c r="A47" s="2"/>
      <c r="B47" s="87"/>
      <c r="C47" s="129"/>
      <c r="D47" s="130"/>
      <c r="E47" s="37"/>
      <c r="F47" s="55">
        <f t="shared" si="21"/>
        <v>328</v>
      </c>
      <c r="G47" s="55">
        <f t="shared" si="23"/>
        <v>328</v>
      </c>
      <c r="H47" s="56">
        <f t="shared" ref="H47:AA47" si="25">SUM(H37:H40)</f>
        <v>328</v>
      </c>
      <c r="I47" s="56">
        <f t="shared" si="25"/>
        <v>0</v>
      </c>
      <c r="J47" s="56">
        <f t="shared" si="25"/>
        <v>32</v>
      </c>
      <c r="K47" s="56">
        <f t="shared" si="25"/>
        <v>32</v>
      </c>
      <c r="L47" s="56">
        <f t="shared" si="25"/>
        <v>32</v>
      </c>
      <c r="M47" s="56">
        <f t="shared" si="25"/>
        <v>32</v>
      </c>
      <c r="N47" s="56"/>
      <c r="O47" s="56"/>
      <c r="P47" s="56">
        <f t="shared" si="25"/>
        <v>32</v>
      </c>
      <c r="Q47" s="56">
        <f t="shared" si="25"/>
        <v>0</v>
      </c>
      <c r="R47" s="56">
        <f t="shared" si="25"/>
        <v>0</v>
      </c>
      <c r="S47" s="56">
        <f t="shared" si="25"/>
        <v>32</v>
      </c>
      <c r="T47" s="56">
        <f t="shared" si="25"/>
        <v>32</v>
      </c>
      <c r="U47" s="56">
        <f t="shared" si="25"/>
        <v>24</v>
      </c>
      <c r="V47" s="56">
        <f t="shared" si="25"/>
        <v>24</v>
      </c>
      <c r="W47" s="56">
        <f t="shared" si="25"/>
        <v>24</v>
      </c>
      <c r="X47" s="56">
        <f t="shared" si="25"/>
        <v>0</v>
      </c>
      <c r="Y47" s="56">
        <f t="shared" si="25"/>
        <v>0</v>
      </c>
      <c r="Z47" s="62">
        <f t="shared" si="25"/>
        <v>24</v>
      </c>
      <c r="AA47" s="61">
        <f t="shared" si="25"/>
        <v>24</v>
      </c>
      <c r="AB47" s="63"/>
      <c r="AD47" s="26"/>
      <c r="AE47" s="26"/>
      <c r="AF47" s="1"/>
    </row>
    <row r="48" spans="1:32" ht="12.75" customHeight="1" x14ac:dyDescent="0.2">
      <c r="A48" s="2"/>
      <c r="B48" s="2"/>
      <c r="C48" s="1"/>
      <c r="D48" s="1"/>
      <c r="E48" s="1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1"/>
    </row>
    <row r="49" spans="1:31" ht="12.7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customHeight="1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customHeight="1" x14ac:dyDescent="0.2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customHeight="1" x14ac:dyDescent="0.2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customHeight="1" x14ac:dyDescent="0.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 x14ac:dyDescent="0.2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 x14ac:dyDescent="0.2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 x14ac:dyDescent="0.2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 x14ac:dyDescent="0.2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 x14ac:dyDescent="0.2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 x14ac:dyDescent="0.2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 x14ac:dyDescent="0.2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 x14ac:dyDescent="0.2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 x14ac:dyDescent="0.2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 x14ac:dyDescent="0.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 x14ac:dyDescent="0.2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 x14ac:dyDescent="0.2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 x14ac:dyDescent="0.2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 x14ac:dyDescent="0.2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 x14ac:dyDescent="0.2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 x14ac:dyDescent="0.2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 x14ac:dyDescent="0.2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 x14ac:dyDescent="0.2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 x14ac:dyDescent="0.2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 x14ac:dyDescent="0.2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 x14ac:dyDescent="0.2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 x14ac:dyDescent="0.2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 x14ac:dyDescent="0.2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 x14ac:dyDescent="0.2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 x14ac:dyDescent="0.2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 x14ac:dyDescent="0.2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 x14ac:dyDescent="0.2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 x14ac:dyDescent="0.2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 x14ac:dyDescent="0.2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 x14ac:dyDescent="0.2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 x14ac:dyDescent="0.2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 x14ac:dyDescent="0.2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 x14ac:dyDescent="0.2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 x14ac:dyDescent="0.2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 x14ac:dyDescent="0.2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 x14ac:dyDescent="0.2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 x14ac:dyDescent="0.2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 x14ac:dyDescent="0.2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 x14ac:dyDescent="0.2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 x14ac:dyDescent="0.2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 x14ac:dyDescent="0.2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 x14ac:dyDescent="0.2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 x14ac:dyDescent="0.2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 x14ac:dyDescent="0.2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 x14ac:dyDescent="0.2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 x14ac:dyDescent="0.2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 x14ac:dyDescent="0.2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 x14ac:dyDescent="0.2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 x14ac:dyDescent="0.2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 x14ac:dyDescent="0.2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 x14ac:dyDescent="0.2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 x14ac:dyDescent="0.2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 x14ac:dyDescent="0.2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 x14ac:dyDescent="0.2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 x14ac:dyDescent="0.2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 x14ac:dyDescent="0.2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 x14ac:dyDescent="0.2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 x14ac:dyDescent="0.2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 x14ac:dyDescent="0.2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 x14ac:dyDescent="0.2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 x14ac:dyDescent="0.2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 x14ac:dyDescent="0.2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 x14ac:dyDescent="0.2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 x14ac:dyDescent="0.2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 x14ac:dyDescent="0.2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2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2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2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2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2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2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2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2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2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2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2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2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2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2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2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2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2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2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2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2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2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2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2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2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2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2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2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2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2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2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2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2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2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2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2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2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2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2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2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2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2">
      <c r="B248" s="17"/>
    </row>
    <row r="249" spans="1:31" ht="15.75" customHeight="1" x14ac:dyDescent="0.2">
      <c r="B249" s="17"/>
    </row>
    <row r="250" spans="1:31" ht="15.75" customHeight="1" x14ac:dyDescent="0.2">
      <c r="B250" s="17"/>
    </row>
    <row r="251" spans="1:31" ht="15.75" customHeight="1" x14ac:dyDescent="0.2">
      <c r="B251" s="17"/>
    </row>
    <row r="252" spans="1:31" ht="15.75" customHeight="1" x14ac:dyDescent="0.2">
      <c r="B252" s="17"/>
    </row>
    <row r="253" spans="1:31" ht="15.75" customHeight="1" x14ac:dyDescent="0.2">
      <c r="B253" s="17"/>
    </row>
    <row r="254" spans="1:31" ht="15.75" customHeight="1" x14ac:dyDescent="0.2">
      <c r="B254" s="17"/>
    </row>
    <row r="255" spans="1:31" ht="15.75" customHeight="1" x14ac:dyDescent="0.2">
      <c r="B255" s="17"/>
    </row>
    <row r="256" spans="1:31" ht="15.75" customHeight="1" x14ac:dyDescent="0.2">
      <c r="B256" s="17"/>
    </row>
    <row r="257" spans="2:2" ht="15.75" customHeight="1" x14ac:dyDescent="0.2">
      <c r="B257" s="17"/>
    </row>
    <row r="258" spans="2:2" ht="15.75" customHeight="1" x14ac:dyDescent="0.2">
      <c r="B258" s="17"/>
    </row>
    <row r="259" spans="2:2" ht="15.75" customHeight="1" x14ac:dyDescent="0.2">
      <c r="B259" s="17"/>
    </row>
    <row r="260" spans="2:2" ht="15.75" customHeight="1" x14ac:dyDescent="0.2">
      <c r="B260" s="17"/>
    </row>
    <row r="261" spans="2:2" ht="15.75" customHeight="1" x14ac:dyDescent="0.2">
      <c r="B261" s="17"/>
    </row>
    <row r="262" spans="2:2" ht="15.75" customHeight="1" x14ac:dyDescent="0.2">
      <c r="B262" s="17"/>
    </row>
    <row r="263" spans="2:2" ht="15.75" customHeight="1" x14ac:dyDescent="0.2">
      <c r="B263" s="17"/>
    </row>
    <row r="264" spans="2:2" ht="15.75" customHeight="1" x14ac:dyDescent="0.2">
      <c r="B264" s="17"/>
    </row>
    <row r="265" spans="2:2" ht="15.75" customHeight="1" x14ac:dyDescent="0.2">
      <c r="B265" s="17"/>
    </row>
    <row r="266" spans="2:2" ht="15.75" customHeight="1" x14ac:dyDescent="0.2">
      <c r="B266" s="17"/>
    </row>
    <row r="267" spans="2:2" ht="15.75" customHeight="1" x14ac:dyDescent="0.2">
      <c r="B267" s="17"/>
    </row>
    <row r="268" spans="2:2" ht="15.75" customHeight="1" x14ac:dyDescent="0.2">
      <c r="B268" s="17"/>
    </row>
    <row r="269" spans="2:2" ht="15.75" customHeight="1" x14ac:dyDescent="0.2">
      <c r="B269" s="17"/>
    </row>
    <row r="270" spans="2:2" ht="15.75" customHeight="1" x14ac:dyDescent="0.2">
      <c r="B270" s="17"/>
    </row>
    <row r="271" spans="2:2" ht="15.75" customHeight="1" x14ac:dyDescent="0.2">
      <c r="B271" s="17"/>
    </row>
    <row r="272" spans="2:2" ht="15.75" customHeight="1" x14ac:dyDescent="0.2">
      <c r="B272" s="17"/>
    </row>
    <row r="273" spans="2:2" ht="15.75" customHeight="1" x14ac:dyDescent="0.2">
      <c r="B273" s="17"/>
    </row>
    <row r="274" spans="2:2" ht="15.75" customHeight="1" x14ac:dyDescent="0.2">
      <c r="B274" s="17"/>
    </row>
    <row r="275" spans="2:2" ht="15.75" customHeight="1" x14ac:dyDescent="0.2">
      <c r="B275" s="17"/>
    </row>
    <row r="276" spans="2:2" ht="15.75" customHeight="1" x14ac:dyDescent="0.2">
      <c r="B276" s="17"/>
    </row>
    <row r="277" spans="2:2" ht="15.75" customHeight="1" x14ac:dyDescent="0.2">
      <c r="B277" s="17"/>
    </row>
    <row r="278" spans="2:2" ht="15.75" customHeight="1" x14ac:dyDescent="0.2">
      <c r="B278" s="17"/>
    </row>
    <row r="279" spans="2:2" ht="15.75" customHeight="1" x14ac:dyDescent="0.2">
      <c r="B279" s="17"/>
    </row>
    <row r="280" spans="2:2" ht="15.75" customHeight="1" x14ac:dyDescent="0.2">
      <c r="B280" s="17"/>
    </row>
    <row r="281" spans="2:2" ht="15.75" customHeight="1" x14ac:dyDescent="0.2">
      <c r="B281" s="17"/>
    </row>
    <row r="282" spans="2:2" ht="15.75" customHeight="1" x14ac:dyDescent="0.2">
      <c r="B282" s="17"/>
    </row>
    <row r="283" spans="2:2" ht="15.75" customHeight="1" x14ac:dyDescent="0.2">
      <c r="B283" s="17"/>
    </row>
    <row r="284" spans="2:2" ht="15.75" customHeight="1" x14ac:dyDescent="0.2">
      <c r="B284" s="17"/>
    </row>
    <row r="285" spans="2:2" ht="15.75" customHeight="1" x14ac:dyDescent="0.2">
      <c r="B285" s="17"/>
    </row>
    <row r="286" spans="2:2" ht="15.75" customHeight="1" x14ac:dyDescent="0.2">
      <c r="B286" s="17"/>
    </row>
    <row r="287" spans="2:2" ht="15.75" customHeight="1" x14ac:dyDescent="0.2">
      <c r="B287" s="17"/>
    </row>
    <row r="288" spans="2:2" ht="15.75" customHeight="1" x14ac:dyDescent="0.2">
      <c r="B288" s="17"/>
    </row>
    <row r="289" spans="2:2" ht="15.75" customHeight="1" x14ac:dyDescent="0.2">
      <c r="B289" s="17"/>
    </row>
    <row r="290" spans="2:2" ht="15.75" customHeight="1" x14ac:dyDescent="0.2">
      <c r="B290" s="17"/>
    </row>
    <row r="291" spans="2:2" ht="15.75" customHeight="1" x14ac:dyDescent="0.2">
      <c r="B291" s="17"/>
    </row>
    <row r="292" spans="2:2" ht="15.75" customHeight="1" x14ac:dyDescent="0.2">
      <c r="B292" s="17"/>
    </row>
    <row r="293" spans="2:2" ht="15.75" customHeight="1" x14ac:dyDescent="0.2">
      <c r="B293" s="17"/>
    </row>
    <row r="294" spans="2:2" ht="15.75" customHeight="1" x14ac:dyDescent="0.2">
      <c r="B294" s="17"/>
    </row>
    <row r="295" spans="2:2" ht="15.75" customHeight="1" x14ac:dyDescent="0.2">
      <c r="B295" s="17"/>
    </row>
    <row r="296" spans="2:2" ht="15.75" customHeight="1" x14ac:dyDescent="0.2">
      <c r="B296" s="17"/>
    </row>
    <row r="297" spans="2:2" ht="15.75" customHeight="1" x14ac:dyDescent="0.2">
      <c r="B297" s="17"/>
    </row>
    <row r="298" spans="2:2" ht="15.75" customHeight="1" x14ac:dyDescent="0.2">
      <c r="B298" s="17"/>
    </row>
    <row r="299" spans="2:2" ht="15.75" customHeight="1" x14ac:dyDescent="0.2">
      <c r="B299" s="17"/>
    </row>
    <row r="300" spans="2:2" ht="15.75" customHeight="1" x14ac:dyDescent="0.2">
      <c r="B300" s="17"/>
    </row>
    <row r="301" spans="2:2" ht="15.75" customHeight="1" x14ac:dyDescent="0.2">
      <c r="B301" s="17"/>
    </row>
    <row r="302" spans="2:2" ht="15.75" customHeight="1" x14ac:dyDescent="0.2">
      <c r="B302" s="17"/>
    </row>
    <row r="303" spans="2:2" ht="15.75" customHeight="1" x14ac:dyDescent="0.2">
      <c r="B303" s="17"/>
    </row>
    <row r="304" spans="2:2" ht="15.75" customHeight="1" x14ac:dyDescent="0.2">
      <c r="B304" s="17"/>
    </row>
    <row r="305" spans="2:2" ht="15.75" customHeight="1" x14ac:dyDescent="0.2">
      <c r="B305" s="17"/>
    </row>
    <row r="306" spans="2:2" ht="15.75" customHeight="1" x14ac:dyDescent="0.2">
      <c r="B306" s="17"/>
    </row>
    <row r="307" spans="2:2" ht="15.75" customHeight="1" x14ac:dyDescent="0.2">
      <c r="B307" s="17"/>
    </row>
    <row r="308" spans="2:2" ht="15.75" customHeight="1" x14ac:dyDescent="0.2">
      <c r="B308" s="17"/>
    </row>
    <row r="309" spans="2:2" ht="15.75" customHeight="1" x14ac:dyDescent="0.2">
      <c r="B309" s="17"/>
    </row>
    <row r="310" spans="2:2" ht="15.75" customHeight="1" x14ac:dyDescent="0.2">
      <c r="B310" s="17"/>
    </row>
    <row r="311" spans="2:2" ht="15.75" customHeight="1" x14ac:dyDescent="0.2">
      <c r="B311" s="17"/>
    </row>
    <row r="312" spans="2:2" ht="15.75" customHeight="1" x14ac:dyDescent="0.2">
      <c r="B312" s="17"/>
    </row>
    <row r="313" spans="2:2" ht="15.75" customHeight="1" x14ac:dyDescent="0.2">
      <c r="B313" s="17"/>
    </row>
    <row r="314" spans="2:2" ht="15.75" customHeight="1" x14ac:dyDescent="0.2">
      <c r="B314" s="17"/>
    </row>
    <row r="315" spans="2:2" ht="15.75" customHeight="1" x14ac:dyDescent="0.2">
      <c r="B315" s="17"/>
    </row>
    <row r="316" spans="2:2" ht="15.75" customHeight="1" x14ac:dyDescent="0.2">
      <c r="B316" s="17"/>
    </row>
    <row r="317" spans="2:2" ht="15.75" customHeight="1" x14ac:dyDescent="0.2">
      <c r="B317" s="17"/>
    </row>
    <row r="318" spans="2:2" ht="15.75" customHeight="1" x14ac:dyDescent="0.2">
      <c r="B318" s="17"/>
    </row>
    <row r="319" spans="2:2" ht="15.75" customHeight="1" x14ac:dyDescent="0.2">
      <c r="B319" s="17"/>
    </row>
    <row r="320" spans="2:2" ht="15.75" customHeight="1" x14ac:dyDescent="0.2">
      <c r="B320" s="17"/>
    </row>
    <row r="321" spans="2:2" ht="15.75" customHeight="1" x14ac:dyDescent="0.2">
      <c r="B321" s="17"/>
    </row>
    <row r="322" spans="2:2" ht="15.75" customHeight="1" x14ac:dyDescent="0.2">
      <c r="B322" s="17"/>
    </row>
    <row r="323" spans="2:2" ht="15.75" customHeight="1" x14ac:dyDescent="0.2">
      <c r="B323" s="17"/>
    </row>
    <row r="324" spans="2:2" ht="15.75" customHeight="1" x14ac:dyDescent="0.2">
      <c r="B324" s="17"/>
    </row>
    <row r="325" spans="2:2" ht="15.75" customHeight="1" x14ac:dyDescent="0.2">
      <c r="B325" s="17"/>
    </row>
    <row r="326" spans="2:2" ht="15.75" customHeight="1" x14ac:dyDescent="0.2">
      <c r="B326" s="17"/>
    </row>
    <row r="327" spans="2:2" ht="15.75" customHeight="1" x14ac:dyDescent="0.2">
      <c r="B327" s="17"/>
    </row>
    <row r="328" spans="2:2" ht="15.75" customHeight="1" x14ac:dyDescent="0.2">
      <c r="B328" s="17"/>
    </row>
    <row r="329" spans="2:2" ht="15.75" customHeight="1" x14ac:dyDescent="0.2">
      <c r="B329" s="17"/>
    </row>
    <row r="330" spans="2:2" ht="15.75" customHeight="1" x14ac:dyDescent="0.2">
      <c r="B330" s="17"/>
    </row>
    <row r="331" spans="2:2" ht="15.75" customHeight="1" x14ac:dyDescent="0.2">
      <c r="B331" s="17"/>
    </row>
    <row r="332" spans="2:2" ht="15.75" customHeight="1" x14ac:dyDescent="0.2">
      <c r="B332" s="17"/>
    </row>
    <row r="333" spans="2:2" ht="15.75" customHeight="1" x14ac:dyDescent="0.2">
      <c r="B333" s="17"/>
    </row>
    <row r="334" spans="2:2" ht="15.75" customHeight="1" x14ac:dyDescent="0.2">
      <c r="B334" s="17"/>
    </row>
    <row r="335" spans="2:2" ht="15.75" customHeight="1" x14ac:dyDescent="0.2">
      <c r="B335" s="17"/>
    </row>
    <row r="336" spans="2:2" ht="15.75" customHeight="1" x14ac:dyDescent="0.2">
      <c r="B336" s="17"/>
    </row>
    <row r="337" spans="2:2" ht="15.75" customHeight="1" x14ac:dyDescent="0.2">
      <c r="B337" s="17"/>
    </row>
    <row r="338" spans="2:2" ht="15.75" customHeight="1" x14ac:dyDescent="0.2">
      <c r="B338" s="17"/>
    </row>
    <row r="339" spans="2:2" ht="15.75" customHeight="1" x14ac:dyDescent="0.2">
      <c r="B339" s="17"/>
    </row>
    <row r="340" spans="2:2" ht="15.75" customHeight="1" x14ac:dyDescent="0.2">
      <c r="B340" s="17"/>
    </row>
    <row r="341" spans="2:2" ht="15.75" customHeight="1" x14ac:dyDescent="0.2">
      <c r="B341" s="17"/>
    </row>
    <row r="342" spans="2:2" ht="15.75" customHeight="1" x14ac:dyDescent="0.2">
      <c r="B342" s="17"/>
    </row>
    <row r="343" spans="2:2" ht="15.75" customHeight="1" x14ac:dyDescent="0.2">
      <c r="B343" s="17"/>
    </row>
    <row r="344" spans="2:2" ht="15.75" customHeight="1" x14ac:dyDescent="0.2">
      <c r="B344" s="17"/>
    </row>
    <row r="345" spans="2:2" ht="15.75" customHeight="1" x14ac:dyDescent="0.2">
      <c r="B345" s="17"/>
    </row>
    <row r="346" spans="2:2" ht="15.75" customHeight="1" x14ac:dyDescent="0.2">
      <c r="B346" s="17"/>
    </row>
    <row r="347" spans="2:2" ht="15.75" customHeight="1" x14ac:dyDescent="0.2">
      <c r="B347" s="17"/>
    </row>
    <row r="348" spans="2:2" ht="15.75" customHeight="1" x14ac:dyDescent="0.2">
      <c r="B348" s="17"/>
    </row>
    <row r="349" spans="2:2" ht="15.75" customHeight="1" x14ac:dyDescent="0.2">
      <c r="B349" s="17"/>
    </row>
    <row r="350" spans="2:2" ht="15.75" customHeight="1" x14ac:dyDescent="0.2">
      <c r="B350" s="17"/>
    </row>
    <row r="351" spans="2:2" ht="15.75" customHeight="1" x14ac:dyDescent="0.2">
      <c r="B351" s="17"/>
    </row>
    <row r="352" spans="2:2" ht="15.75" customHeight="1" x14ac:dyDescent="0.2">
      <c r="B352" s="17"/>
    </row>
    <row r="353" spans="2:2" ht="15.75" customHeight="1" x14ac:dyDescent="0.2">
      <c r="B353" s="17"/>
    </row>
    <row r="354" spans="2:2" ht="15.75" customHeight="1" x14ac:dyDescent="0.2">
      <c r="B354" s="17"/>
    </row>
    <row r="355" spans="2:2" ht="15.75" customHeight="1" x14ac:dyDescent="0.2">
      <c r="B355" s="17"/>
    </row>
    <row r="356" spans="2:2" ht="15.75" customHeight="1" x14ac:dyDescent="0.2">
      <c r="B356" s="17"/>
    </row>
    <row r="357" spans="2:2" ht="15.75" customHeight="1" x14ac:dyDescent="0.2">
      <c r="B357" s="17"/>
    </row>
    <row r="358" spans="2:2" ht="15.75" customHeight="1" x14ac:dyDescent="0.2">
      <c r="B358" s="17"/>
    </row>
    <row r="359" spans="2:2" ht="15.75" customHeight="1" x14ac:dyDescent="0.2">
      <c r="B359" s="17"/>
    </row>
    <row r="360" spans="2:2" ht="15.75" customHeight="1" x14ac:dyDescent="0.2">
      <c r="B360" s="17"/>
    </row>
    <row r="361" spans="2:2" ht="15.75" customHeight="1" x14ac:dyDescent="0.2">
      <c r="B361" s="17"/>
    </row>
    <row r="362" spans="2:2" ht="15.75" customHeight="1" x14ac:dyDescent="0.2">
      <c r="B362" s="17"/>
    </row>
    <row r="363" spans="2:2" ht="15.75" customHeight="1" x14ac:dyDescent="0.2">
      <c r="B363" s="17"/>
    </row>
    <row r="364" spans="2:2" ht="15.75" customHeight="1" x14ac:dyDescent="0.2">
      <c r="B364" s="17"/>
    </row>
    <row r="365" spans="2:2" ht="15.75" customHeight="1" x14ac:dyDescent="0.2">
      <c r="B365" s="17"/>
    </row>
    <row r="366" spans="2:2" ht="15.75" customHeight="1" x14ac:dyDescent="0.2">
      <c r="B366" s="17"/>
    </row>
    <row r="367" spans="2:2" ht="15.75" customHeight="1" x14ac:dyDescent="0.2">
      <c r="B367" s="17"/>
    </row>
    <row r="368" spans="2:2" ht="15.75" customHeight="1" x14ac:dyDescent="0.2">
      <c r="B368" s="17"/>
    </row>
    <row r="369" spans="2:2" ht="15.75" customHeight="1" x14ac:dyDescent="0.2">
      <c r="B369" s="17"/>
    </row>
    <row r="370" spans="2:2" ht="15.75" customHeight="1" x14ac:dyDescent="0.2">
      <c r="B370" s="17"/>
    </row>
    <row r="371" spans="2:2" ht="15.75" customHeight="1" x14ac:dyDescent="0.2">
      <c r="B371" s="17"/>
    </row>
    <row r="372" spans="2:2" ht="15.75" customHeight="1" x14ac:dyDescent="0.2">
      <c r="B372" s="17"/>
    </row>
    <row r="373" spans="2:2" ht="15.75" customHeight="1" x14ac:dyDescent="0.2">
      <c r="B373" s="17"/>
    </row>
    <row r="374" spans="2:2" ht="15.75" customHeight="1" x14ac:dyDescent="0.2">
      <c r="B374" s="17"/>
    </row>
    <row r="375" spans="2:2" ht="15.75" customHeight="1" x14ac:dyDescent="0.2">
      <c r="B375" s="17"/>
    </row>
    <row r="376" spans="2:2" ht="15.75" customHeight="1" x14ac:dyDescent="0.2">
      <c r="B376" s="17"/>
    </row>
    <row r="377" spans="2:2" ht="15.75" customHeight="1" x14ac:dyDescent="0.2">
      <c r="B377" s="17"/>
    </row>
    <row r="378" spans="2:2" ht="15.75" customHeight="1" x14ac:dyDescent="0.2">
      <c r="B378" s="17"/>
    </row>
    <row r="379" spans="2:2" ht="15.75" customHeight="1" x14ac:dyDescent="0.2">
      <c r="B379" s="17"/>
    </row>
    <row r="380" spans="2:2" ht="15.75" customHeight="1" x14ac:dyDescent="0.2">
      <c r="B380" s="17"/>
    </row>
    <row r="381" spans="2:2" ht="15.75" customHeight="1" x14ac:dyDescent="0.2">
      <c r="B381" s="17"/>
    </row>
    <row r="382" spans="2:2" ht="15.75" customHeight="1" x14ac:dyDescent="0.2">
      <c r="B382" s="17"/>
    </row>
    <row r="383" spans="2:2" ht="15.75" customHeight="1" x14ac:dyDescent="0.2">
      <c r="B383" s="17"/>
    </row>
    <row r="384" spans="2:2" ht="15.75" customHeight="1" x14ac:dyDescent="0.2">
      <c r="B384" s="17"/>
    </row>
    <row r="385" spans="2:2" ht="15.75" customHeight="1" x14ac:dyDescent="0.2">
      <c r="B385" s="17"/>
    </row>
    <row r="386" spans="2:2" ht="15.75" customHeight="1" x14ac:dyDescent="0.2">
      <c r="B386" s="17"/>
    </row>
    <row r="387" spans="2:2" ht="15.75" customHeight="1" x14ac:dyDescent="0.2">
      <c r="B387" s="17"/>
    </row>
    <row r="388" spans="2:2" ht="15.75" customHeight="1" x14ac:dyDescent="0.2">
      <c r="B388" s="17"/>
    </row>
    <row r="389" spans="2:2" ht="15.75" customHeight="1" x14ac:dyDescent="0.2">
      <c r="B389" s="17"/>
    </row>
    <row r="390" spans="2:2" ht="15.75" customHeight="1" x14ac:dyDescent="0.2">
      <c r="B390" s="17"/>
    </row>
    <row r="391" spans="2:2" ht="15.75" customHeight="1" x14ac:dyDescent="0.2">
      <c r="B391" s="17"/>
    </row>
    <row r="392" spans="2:2" ht="15.75" customHeight="1" x14ac:dyDescent="0.2">
      <c r="B392" s="17"/>
    </row>
    <row r="393" spans="2:2" ht="15.75" customHeight="1" x14ac:dyDescent="0.2">
      <c r="B393" s="17"/>
    </row>
    <row r="394" spans="2:2" ht="15.75" customHeight="1" x14ac:dyDescent="0.2">
      <c r="B394" s="17"/>
    </row>
    <row r="395" spans="2:2" ht="15.75" customHeight="1" x14ac:dyDescent="0.2">
      <c r="B395" s="17"/>
    </row>
    <row r="396" spans="2:2" ht="15.75" customHeight="1" x14ac:dyDescent="0.2">
      <c r="B396" s="17"/>
    </row>
    <row r="397" spans="2:2" ht="15.75" customHeight="1" x14ac:dyDescent="0.2">
      <c r="B397" s="17"/>
    </row>
    <row r="398" spans="2:2" ht="15.75" customHeight="1" x14ac:dyDescent="0.2">
      <c r="B398" s="17"/>
    </row>
    <row r="399" spans="2:2" ht="15.75" customHeight="1" x14ac:dyDescent="0.2">
      <c r="B399" s="17"/>
    </row>
    <row r="400" spans="2:2" ht="15.75" customHeight="1" x14ac:dyDescent="0.2">
      <c r="B400" s="17"/>
    </row>
    <row r="401" spans="2:2" ht="15.75" customHeight="1" x14ac:dyDescent="0.2">
      <c r="B401" s="17"/>
    </row>
    <row r="402" spans="2:2" ht="15.75" customHeight="1" x14ac:dyDescent="0.2">
      <c r="B402" s="17"/>
    </row>
    <row r="403" spans="2:2" ht="15.75" customHeight="1" x14ac:dyDescent="0.2">
      <c r="B403" s="17"/>
    </row>
    <row r="404" spans="2:2" ht="15.75" customHeight="1" x14ac:dyDescent="0.2">
      <c r="B404" s="17"/>
    </row>
    <row r="405" spans="2:2" ht="15.75" customHeight="1" x14ac:dyDescent="0.2">
      <c r="B405" s="17"/>
    </row>
    <row r="406" spans="2:2" ht="15.75" customHeight="1" x14ac:dyDescent="0.2">
      <c r="B406" s="17"/>
    </row>
    <row r="407" spans="2:2" ht="15.75" customHeight="1" x14ac:dyDescent="0.2">
      <c r="B407" s="17"/>
    </row>
    <row r="408" spans="2:2" ht="15.75" customHeight="1" x14ac:dyDescent="0.2">
      <c r="B408" s="17"/>
    </row>
    <row r="409" spans="2:2" ht="15.75" customHeight="1" x14ac:dyDescent="0.2">
      <c r="B409" s="17"/>
    </row>
    <row r="410" spans="2:2" ht="15.75" customHeight="1" x14ac:dyDescent="0.2">
      <c r="B410" s="17"/>
    </row>
    <row r="411" spans="2:2" ht="15.75" customHeight="1" x14ac:dyDescent="0.2">
      <c r="B411" s="17"/>
    </row>
    <row r="412" spans="2:2" ht="15.75" customHeight="1" x14ac:dyDescent="0.2">
      <c r="B412" s="17"/>
    </row>
    <row r="413" spans="2:2" ht="15.75" customHeight="1" x14ac:dyDescent="0.2">
      <c r="B413" s="17"/>
    </row>
    <row r="414" spans="2:2" ht="15.75" customHeight="1" x14ac:dyDescent="0.2">
      <c r="B414" s="17"/>
    </row>
    <row r="415" spans="2:2" ht="15.75" customHeight="1" x14ac:dyDescent="0.2">
      <c r="B415" s="17"/>
    </row>
    <row r="416" spans="2:2" ht="15.75" customHeight="1" x14ac:dyDescent="0.2">
      <c r="B416" s="17"/>
    </row>
    <row r="417" spans="2:2" ht="15.75" customHeight="1" x14ac:dyDescent="0.2">
      <c r="B417" s="17"/>
    </row>
    <row r="418" spans="2:2" ht="15.75" customHeight="1" x14ac:dyDescent="0.2">
      <c r="B418" s="17"/>
    </row>
    <row r="419" spans="2:2" ht="15.75" customHeight="1" x14ac:dyDescent="0.2">
      <c r="B419" s="17"/>
    </row>
    <row r="420" spans="2:2" ht="15.75" customHeight="1" x14ac:dyDescent="0.2">
      <c r="B420" s="17"/>
    </row>
    <row r="421" spans="2:2" ht="15.75" customHeight="1" x14ac:dyDescent="0.2">
      <c r="B421" s="17"/>
    </row>
    <row r="422" spans="2:2" ht="15.75" customHeight="1" x14ac:dyDescent="0.2">
      <c r="B422" s="17"/>
    </row>
    <row r="423" spans="2:2" ht="15.75" customHeight="1" x14ac:dyDescent="0.2">
      <c r="B423" s="17"/>
    </row>
    <row r="424" spans="2:2" ht="15.75" customHeight="1" x14ac:dyDescent="0.2">
      <c r="B424" s="17"/>
    </row>
    <row r="425" spans="2:2" ht="15.75" customHeight="1" x14ac:dyDescent="0.2">
      <c r="B425" s="17"/>
    </row>
    <row r="426" spans="2:2" ht="15.75" customHeight="1" x14ac:dyDescent="0.2">
      <c r="B426" s="17"/>
    </row>
    <row r="427" spans="2:2" ht="15.75" customHeight="1" x14ac:dyDescent="0.2">
      <c r="B427" s="17"/>
    </row>
    <row r="428" spans="2:2" ht="15.75" customHeight="1" x14ac:dyDescent="0.2">
      <c r="B428" s="17"/>
    </row>
    <row r="429" spans="2:2" ht="15.75" customHeight="1" x14ac:dyDescent="0.2">
      <c r="B429" s="17"/>
    </row>
    <row r="430" spans="2:2" ht="15.75" customHeight="1" x14ac:dyDescent="0.2">
      <c r="B430" s="17"/>
    </row>
    <row r="431" spans="2:2" ht="15.75" customHeight="1" x14ac:dyDescent="0.2">
      <c r="B431" s="17"/>
    </row>
    <row r="432" spans="2:2" ht="15.75" customHeight="1" x14ac:dyDescent="0.2">
      <c r="B432" s="17"/>
    </row>
    <row r="433" spans="2:2" ht="15.75" customHeight="1" x14ac:dyDescent="0.2">
      <c r="B433" s="17"/>
    </row>
    <row r="434" spans="2:2" ht="15.75" customHeight="1" x14ac:dyDescent="0.2">
      <c r="B434" s="17"/>
    </row>
    <row r="435" spans="2:2" ht="15.75" customHeight="1" x14ac:dyDescent="0.2">
      <c r="B435" s="17"/>
    </row>
    <row r="436" spans="2:2" ht="15.75" customHeight="1" x14ac:dyDescent="0.2">
      <c r="B436" s="17"/>
    </row>
    <row r="437" spans="2:2" ht="15.75" customHeight="1" x14ac:dyDescent="0.2">
      <c r="B437" s="17"/>
    </row>
    <row r="438" spans="2:2" ht="15.75" customHeight="1" x14ac:dyDescent="0.2">
      <c r="B438" s="17"/>
    </row>
    <row r="439" spans="2:2" ht="15.75" customHeight="1" x14ac:dyDescent="0.2">
      <c r="B439" s="17"/>
    </row>
    <row r="440" spans="2:2" ht="15.75" customHeight="1" x14ac:dyDescent="0.2">
      <c r="B440" s="17"/>
    </row>
    <row r="441" spans="2:2" ht="15.75" customHeight="1" x14ac:dyDescent="0.2">
      <c r="B441" s="17"/>
    </row>
    <row r="442" spans="2:2" ht="15.75" customHeight="1" x14ac:dyDescent="0.2">
      <c r="B442" s="17"/>
    </row>
    <row r="443" spans="2:2" ht="15.75" customHeight="1" x14ac:dyDescent="0.2">
      <c r="B443" s="17"/>
    </row>
    <row r="444" spans="2:2" ht="15.75" customHeight="1" x14ac:dyDescent="0.2">
      <c r="B444" s="17"/>
    </row>
    <row r="445" spans="2:2" ht="15.75" customHeight="1" x14ac:dyDescent="0.2">
      <c r="B445" s="17"/>
    </row>
    <row r="446" spans="2:2" ht="15.75" customHeight="1" x14ac:dyDescent="0.2">
      <c r="B446" s="17"/>
    </row>
    <row r="447" spans="2:2" ht="15.75" customHeight="1" x14ac:dyDescent="0.2">
      <c r="B447" s="17"/>
    </row>
    <row r="448" spans="2:2" ht="15.75" customHeight="1" x14ac:dyDescent="0.2">
      <c r="B448" s="17"/>
    </row>
    <row r="449" spans="2:2" ht="15.75" customHeight="1" x14ac:dyDescent="0.2">
      <c r="B449" s="17"/>
    </row>
    <row r="450" spans="2:2" ht="15.75" customHeight="1" x14ac:dyDescent="0.2">
      <c r="B450" s="17"/>
    </row>
    <row r="451" spans="2:2" ht="15.75" customHeight="1" x14ac:dyDescent="0.2">
      <c r="B451" s="17"/>
    </row>
    <row r="452" spans="2:2" ht="15.75" customHeight="1" x14ac:dyDescent="0.2">
      <c r="B452" s="17"/>
    </row>
    <row r="453" spans="2:2" ht="15.75" customHeight="1" x14ac:dyDescent="0.2">
      <c r="B453" s="17"/>
    </row>
    <row r="454" spans="2:2" ht="15.75" customHeight="1" x14ac:dyDescent="0.2">
      <c r="B454" s="17"/>
    </row>
    <row r="455" spans="2:2" ht="15.75" customHeight="1" x14ac:dyDescent="0.2">
      <c r="B455" s="17"/>
    </row>
    <row r="456" spans="2:2" ht="15.75" customHeight="1" x14ac:dyDescent="0.2">
      <c r="B456" s="17"/>
    </row>
    <row r="457" spans="2:2" ht="15.75" customHeight="1" x14ac:dyDescent="0.2">
      <c r="B457" s="17"/>
    </row>
    <row r="458" spans="2:2" ht="15.75" customHeight="1" x14ac:dyDescent="0.2">
      <c r="B458" s="17"/>
    </row>
    <row r="459" spans="2:2" ht="15.75" customHeight="1" x14ac:dyDescent="0.2">
      <c r="B459" s="17"/>
    </row>
    <row r="460" spans="2:2" ht="15.75" customHeight="1" x14ac:dyDescent="0.2">
      <c r="B460" s="17"/>
    </row>
    <row r="461" spans="2:2" ht="15.75" customHeight="1" x14ac:dyDescent="0.2">
      <c r="B461" s="17"/>
    </row>
    <row r="462" spans="2:2" ht="15.75" customHeight="1" x14ac:dyDescent="0.2">
      <c r="B462" s="17"/>
    </row>
    <row r="463" spans="2:2" ht="15.75" customHeight="1" x14ac:dyDescent="0.2">
      <c r="B463" s="17"/>
    </row>
    <row r="464" spans="2:2" ht="15.75" customHeight="1" x14ac:dyDescent="0.2">
      <c r="B464" s="17"/>
    </row>
    <row r="465" spans="2:2" ht="15.75" customHeight="1" x14ac:dyDescent="0.2">
      <c r="B465" s="17"/>
    </row>
    <row r="466" spans="2:2" ht="15.75" customHeight="1" x14ac:dyDescent="0.2">
      <c r="B466" s="17"/>
    </row>
    <row r="467" spans="2:2" ht="15.75" customHeight="1" x14ac:dyDescent="0.2">
      <c r="B467" s="17"/>
    </row>
    <row r="468" spans="2:2" ht="15.75" customHeight="1" x14ac:dyDescent="0.2">
      <c r="B468" s="17"/>
    </row>
    <row r="469" spans="2:2" ht="15.75" customHeight="1" x14ac:dyDescent="0.2">
      <c r="B469" s="17"/>
    </row>
    <row r="470" spans="2:2" ht="15.75" customHeight="1" x14ac:dyDescent="0.2">
      <c r="B470" s="17"/>
    </row>
    <row r="471" spans="2:2" ht="15.75" customHeight="1" x14ac:dyDescent="0.2">
      <c r="B471" s="17"/>
    </row>
    <row r="472" spans="2:2" ht="15.75" customHeight="1" x14ac:dyDescent="0.2">
      <c r="B472" s="17"/>
    </row>
    <row r="473" spans="2:2" ht="15.75" customHeight="1" x14ac:dyDescent="0.2">
      <c r="B473" s="17"/>
    </row>
    <row r="474" spans="2:2" ht="15.75" customHeight="1" x14ac:dyDescent="0.2">
      <c r="B474" s="17"/>
    </row>
    <row r="475" spans="2:2" ht="15.75" customHeight="1" x14ac:dyDescent="0.2">
      <c r="B475" s="17"/>
    </row>
    <row r="476" spans="2:2" ht="15.75" customHeight="1" x14ac:dyDescent="0.2">
      <c r="B476" s="17"/>
    </row>
    <row r="477" spans="2:2" ht="15.75" customHeight="1" x14ac:dyDescent="0.2">
      <c r="B477" s="17"/>
    </row>
    <row r="478" spans="2:2" ht="15.75" customHeight="1" x14ac:dyDescent="0.2">
      <c r="B478" s="17"/>
    </row>
    <row r="479" spans="2:2" ht="15.75" customHeight="1" x14ac:dyDescent="0.2">
      <c r="B479" s="17"/>
    </row>
    <row r="480" spans="2:2" ht="15.75" customHeight="1" x14ac:dyDescent="0.2">
      <c r="B480" s="17"/>
    </row>
    <row r="481" spans="2:2" ht="15.75" customHeight="1" x14ac:dyDescent="0.2">
      <c r="B481" s="17"/>
    </row>
    <row r="482" spans="2:2" ht="15.75" customHeight="1" x14ac:dyDescent="0.2">
      <c r="B482" s="17"/>
    </row>
    <row r="483" spans="2:2" ht="15.75" customHeight="1" x14ac:dyDescent="0.2">
      <c r="B483" s="17"/>
    </row>
    <row r="484" spans="2:2" ht="15.75" customHeight="1" x14ac:dyDescent="0.2">
      <c r="B484" s="17"/>
    </row>
    <row r="485" spans="2:2" ht="15.75" customHeight="1" x14ac:dyDescent="0.2">
      <c r="B485" s="17"/>
    </row>
    <row r="486" spans="2:2" ht="15.75" customHeight="1" x14ac:dyDescent="0.2">
      <c r="B486" s="17"/>
    </row>
    <row r="487" spans="2:2" ht="15.75" customHeight="1" x14ac:dyDescent="0.2">
      <c r="B487" s="17"/>
    </row>
    <row r="488" spans="2:2" ht="15.75" customHeight="1" x14ac:dyDescent="0.2">
      <c r="B488" s="17"/>
    </row>
    <row r="489" spans="2:2" ht="15.75" customHeight="1" x14ac:dyDescent="0.2">
      <c r="B489" s="17"/>
    </row>
    <row r="490" spans="2:2" ht="15.75" customHeight="1" x14ac:dyDescent="0.2">
      <c r="B490" s="17"/>
    </row>
    <row r="491" spans="2:2" ht="15.75" customHeight="1" x14ac:dyDescent="0.2">
      <c r="B491" s="17"/>
    </row>
    <row r="492" spans="2:2" ht="15.75" customHeight="1" x14ac:dyDescent="0.2">
      <c r="B492" s="17"/>
    </row>
    <row r="493" spans="2:2" ht="15.75" customHeight="1" x14ac:dyDescent="0.2">
      <c r="B493" s="17"/>
    </row>
    <row r="494" spans="2:2" ht="15.75" customHeight="1" x14ac:dyDescent="0.2">
      <c r="B494" s="17"/>
    </row>
    <row r="495" spans="2:2" ht="15.75" customHeight="1" x14ac:dyDescent="0.2">
      <c r="B495" s="17"/>
    </row>
    <row r="496" spans="2:2" ht="15.75" customHeight="1" x14ac:dyDescent="0.2">
      <c r="B496" s="17"/>
    </row>
    <row r="497" spans="2:2" ht="15.75" customHeight="1" x14ac:dyDescent="0.2">
      <c r="B497" s="17"/>
    </row>
    <row r="498" spans="2:2" ht="15.75" customHeight="1" x14ac:dyDescent="0.2">
      <c r="B498" s="17"/>
    </row>
    <row r="499" spans="2:2" ht="15.75" customHeight="1" x14ac:dyDescent="0.2">
      <c r="B499" s="17"/>
    </row>
    <row r="500" spans="2:2" ht="15.75" customHeight="1" x14ac:dyDescent="0.2">
      <c r="B500" s="17"/>
    </row>
    <row r="501" spans="2:2" ht="15.75" customHeight="1" x14ac:dyDescent="0.2">
      <c r="B501" s="17"/>
    </row>
    <row r="502" spans="2:2" ht="15.75" customHeight="1" x14ac:dyDescent="0.2">
      <c r="B502" s="17"/>
    </row>
    <row r="503" spans="2:2" ht="15.75" customHeight="1" x14ac:dyDescent="0.2">
      <c r="B503" s="17"/>
    </row>
    <row r="504" spans="2:2" ht="15.75" customHeight="1" x14ac:dyDescent="0.2">
      <c r="B504" s="17"/>
    </row>
    <row r="505" spans="2:2" ht="15.75" customHeight="1" x14ac:dyDescent="0.2">
      <c r="B505" s="17"/>
    </row>
    <row r="506" spans="2:2" ht="15.75" customHeight="1" x14ac:dyDescent="0.2">
      <c r="B506" s="17"/>
    </row>
    <row r="507" spans="2:2" ht="15.75" customHeight="1" x14ac:dyDescent="0.2">
      <c r="B507" s="17"/>
    </row>
    <row r="508" spans="2:2" ht="15.75" customHeight="1" x14ac:dyDescent="0.2">
      <c r="B508" s="17"/>
    </row>
    <row r="509" spans="2:2" ht="15.75" customHeight="1" x14ac:dyDescent="0.2">
      <c r="B509" s="17"/>
    </row>
    <row r="510" spans="2:2" ht="15.75" customHeight="1" x14ac:dyDescent="0.2">
      <c r="B510" s="17"/>
    </row>
    <row r="511" spans="2:2" ht="15.75" customHeight="1" x14ac:dyDescent="0.2">
      <c r="B511" s="17"/>
    </row>
    <row r="512" spans="2:2" ht="15.75" customHeight="1" x14ac:dyDescent="0.2">
      <c r="B512" s="17"/>
    </row>
    <row r="513" spans="2:2" ht="15.75" customHeight="1" x14ac:dyDescent="0.2">
      <c r="B513" s="17"/>
    </row>
    <row r="514" spans="2:2" ht="15.75" customHeight="1" x14ac:dyDescent="0.2">
      <c r="B514" s="17"/>
    </row>
    <row r="515" spans="2:2" ht="15.75" customHeight="1" x14ac:dyDescent="0.2">
      <c r="B515" s="17"/>
    </row>
    <row r="516" spans="2:2" ht="15.75" customHeight="1" x14ac:dyDescent="0.2">
      <c r="B516" s="17"/>
    </row>
    <row r="517" spans="2:2" ht="15.75" customHeight="1" x14ac:dyDescent="0.2">
      <c r="B517" s="17"/>
    </row>
    <row r="518" spans="2:2" ht="15.75" customHeight="1" x14ac:dyDescent="0.2">
      <c r="B518" s="17"/>
    </row>
    <row r="519" spans="2:2" ht="15.75" customHeight="1" x14ac:dyDescent="0.2">
      <c r="B519" s="17"/>
    </row>
    <row r="520" spans="2:2" ht="15.75" customHeight="1" x14ac:dyDescent="0.2">
      <c r="B520" s="17"/>
    </row>
    <row r="521" spans="2:2" ht="15.75" customHeight="1" x14ac:dyDescent="0.2">
      <c r="B521" s="17"/>
    </row>
    <row r="522" spans="2:2" ht="15.75" customHeight="1" x14ac:dyDescent="0.2">
      <c r="B522" s="17"/>
    </row>
    <row r="523" spans="2:2" ht="15.75" customHeight="1" x14ac:dyDescent="0.2">
      <c r="B523" s="17"/>
    </row>
    <row r="524" spans="2:2" ht="15.75" customHeight="1" x14ac:dyDescent="0.2">
      <c r="B524" s="17"/>
    </row>
    <row r="525" spans="2:2" ht="15.75" customHeight="1" x14ac:dyDescent="0.2">
      <c r="B525" s="17"/>
    </row>
    <row r="526" spans="2:2" ht="15.75" customHeight="1" x14ac:dyDescent="0.2">
      <c r="B526" s="17"/>
    </row>
    <row r="527" spans="2:2" ht="15.75" customHeight="1" x14ac:dyDescent="0.2">
      <c r="B527" s="17"/>
    </row>
    <row r="528" spans="2:2" ht="15.75" customHeight="1" x14ac:dyDescent="0.2">
      <c r="B528" s="17"/>
    </row>
    <row r="529" spans="2:2" ht="15.75" customHeight="1" x14ac:dyDescent="0.2">
      <c r="B529" s="17"/>
    </row>
    <row r="530" spans="2:2" ht="15.75" customHeight="1" x14ac:dyDescent="0.2">
      <c r="B530" s="17"/>
    </row>
    <row r="531" spans="2:2" ht="15.75" customHeight="1" x14ac:dyDescent="0.2">
      <c r="B531" s="17"/>
    </row>
    <row r="532" spans="2:2" ht="15.75" customHeight="1" x14ac:dyDescent="0.2">
      <c r="B532" s="17"/>
    </row>
    <row r="533" spans="2:2" ht="15.75" customHeight="1" x14ac:dyDescent="0.2">
      <c r="B533" s="17"/>
    </row>
    <row r="534" spans="2:2" ht="15.75" customHeight="1" x14ac:dyDescent="0.2">
      <c r="B534" s="17"/>
    </row>
    <row r="535" spans="2:2" ht="15.75" customHeight="1" x14ac:dyDescent="0.2">
      <c r="B535" s="17"/>
    </row>
    <row r="536" spans="2:2" ht="15.75" customHeight="1" x14ac:dyDescent="0.2">
      <c r="B536" s="17"/>
    </row>
    <row r="537" spans="2:2" ht="15.75" customHeight="1" x14ac:dyDescent="0.2">
      <c r="B537" s="17"/>
    </row>
    <row r="538" spans="2:2" ht="15.75" customHeight="1" x14ac:dyDescent="0.2">
      <c r="B538" s="17"/>
    </row>
    <row r="539" spans="2:2" ht="15.75" customHeight="1" x14ac:dyDescent="0.2">
      <c r="B539" s="17"/>
    </row>
    <row r="540" spans="2:2" ht="15.75" customHeight="1" x14ac:dyDescent="0.2">
      <c r="B540" s="17"/>
    </row>
    <row r="541" spans="2:2" ht="15.75" customHeight="1" x14ac:dyDescent="0.2">
      <c r="B541" s="17"/>
    </row>
    <row r="542" spans="2:2" ht="15.75" customHeight="1" x14ac:dyDescent="0.2">
      <c r="B542" s="17"/>
    </row>
    <row r="543" spans="2:2" ht="15.75" customHeight="1" x14ac:dyDescent="0.2">
      <c r="B543" s="17"/>
    </row>
    <row r="544" spans="2:2" ht="15.75" customHeight="1" x14ac:dyDescent="0.2">
      <c r="B544" s="17"/>
    </row>
    <row r="545" spans="2:2" ht="15.75" customHeight="1" x14ac:dyDescent="0.2">
      <c r="B545" s="17"/>
    </row>
    <row r="546" spans="2:2" ht="15.75" customHeight="1" x14ac:dyDescent="0.2">
      <c r="B546" s="17"/>
    </row>
    <row r="547" spans="2:2" ht="15.75" customHeight="1" x14ac:dyDescent="0.2">
      <c r="B547" s="17"/>
    </row>
    <row r="548" spans="2:2" ht="15.75" customHeight="1" x14ac:dyDescent="0.2">
      <c r="B548" s="17"/>
    </row>
    <row r="549" spans="2:2" ht="15.75" customHeight="1" x14ac:dyDescent="0.2">
      <c r="B549" s="17"/>
    </row>
    <row r="550" spans="2:2" ht="15.75" customHeight="1" x14ac:dyDescent="0.2">
      <c r="B550" s="17"/>
    </row>
    <row r="551" spans="2:2" ht="15.75" customHeight="1" x14ac:dyDescent="0.2">
      <c r="B551" s="17"/>
    </row>
    <row r="552" spans="2:2" ht="15.75" customHeight="1" x14ac:dyDescent="0.2">
      <c r="B552" s="17"/>
    </row>
    <row r="553" spans="2:2" ht="15.75" customHeight="1" x14ac:dyDescent="0.2">
      <c r="B553" s="17"/>
    </row>
    <row r="554" spans="2:2" ht="15.75" customHeight="1" x14ac:dyDescent="0.2">
      <c r="B554" s="17"/>
    </row>
    <row r="555" spans="2:2" ht="15.75" customHeight="1" x14ac:dyDescent="0.2">
      <c r="B555" s="17"/>
    </row>
    <row r="556" spans="2:2" ht="15.75" customHeight="1" x14ac:dyDescent="0.2">
      <c r="B556" s="17"/>
    </row>
    <row r="557" spans="2:2" ht="15.75" customHeight="1" x14ac:dyDescent="0.2">
      <c r="B557" s="17"/>
    </row>
    <row r="558" spans="2:2" ht="15.75" customHeight="1" x14ac:dyDescent="0.2">
      <c r="B558" s="17"/>
    </row>
    <row r="559" spans="2:2" ht="15.75" customHeight="1" x14ac:dyDescent="0.2">
      <c r="B559" s="17"/>
    </row>
    <row r="560" spans="2:2" ht="15.75" customHeight="1" x14ac:dyDescent="0.2">
      <c r="B560" s="17"/>
    </row>
    <row r="561" spans="2:2" ht="15.75" customHeight="1" x14ac:dyDescent="0.2">
      <c r="B561" s="17"/>
    </row>
    <row r="562" spans="2:2" ht="15.75" customHeight="1" x14ac:dyDescent="0.2">
      <c r="B562" s="17"/>
    </row>
    <row r="563" spans="2:2" ht="15.75" customHeight="1" x14ac:dyDescent="0.2">
      <c r="B563" s="17"/>
    </row>
    <row r="564" spans="2:2" ht="15.75" customHeight="1" x14ac:dyDescent="0.2">
      <c r="B564" s="17"/>
    </row>
    <row r="565" spans="2:2" ht="15.75" customHeight="1" x14ac:dyDescent="0.2">
      <c r="B565" s="17"/>
    </row>
    <row r="566" spans="2:2" ht="15.75" customHeight="1" x14ac:dyDescent="0.2">
      <c r="B566" s="17"/>
    </row>
    <row r="567" spans="2:2" ht="15.75" customHeight="1" x14ac:dyDescent="0.2">
      <c r="B567" s="17"/>
    </row>
    <row r="568" spans="2:2" ht="15.75" customHeight="1" x14ac:dyDescent="0.2">
      <c r="B568" s="17"/>
    </row>
    <row r="569" spans="2:2" ht="15.75" customHeight="1" x14ac:dyDescent="0.2">
      <c r="B569" s="17"/>
    </row>
    <row r="570" spans="2:2" ht="15.75" customHeight="1" x14ac:dyDescent="0.2">
      <c r="B570" s="17"/>
    </row>
    <row r="571" spans="2:2" ht="15.75" customHeight="1" x14ac:dyDescent="0.2">
      <c r="B571" s="17"/>
    </row>
    <row r="572" spans="2:2" ht="15.75" customHeight="1" x14ac:dyDescent="0.2">
      <c r="B572" s="17"/>
    </row>
    <row r="573" spans="2:2" ht="15.75" customHeight="1" x14ac:dyDescent="0.2">
      <c r="B573" s="17"/>
    </row>
    <row r="574" spans="2:2" ht="15.75" customHeight="1" x14ac:dyDescent="0.2">
      <c r="B574" s="17"/>
    </row>
    <row r="575" spans="2:2" ht="15.75" customHeight="1" x14ac:dyDescent="0.2">
      <c r="B575" s="17"/>
    </row>
    <row r="576" spans="2:2" ht="15.75" customHeight="1" x14ac:dyDescent="0.2">
      <c r="B576" s="17"/>
    </row>
    <row r="577" spans="2:2" ht="15.75" customHeight="1" x14ac:dyDescent="0.2">
      <c r="B577" s="17"/>
    </row>
    <row r="578" spans="2:2" ht="15.75" customHeight="1" x14ac:dyDescent="0.2">
      <c r="B578" s="17"/>
    </row>
    <row r="579" spans="2:2" ht="15.75" customHeight="1" x14ac:dyDescent="0.2">
      <c r="B579" s="17"/>
    </row>
    <row r="580" spans="2:2" ht="15.75" customHeight="1" x14ac:dyDescent="0.2">
      <c r="B580" s="17"/>
    </row>
    <row r="581" spans="2:2" ht="15.75" customHeight="1" x14ac:dyDescent="0.2">
      <c r="B581" s="17"/>
    </row>
    <row r="582" spans="2:2" ht="15.75" customHeight="1" x14ac:dyDescent="0.2">
      <c r="B582" s="17"/>
    </row>
    <row r="583" spans="2:2" ht="15.75" customHeight="1" x14ac:dyDescent="0.2">
      <c r="B583" s="17"/>
    </row>
    <row r="584" spans="2:2" ht="15.75" customHeight="1" x14ac:dyDescent="0.2">
      <c r="B584" s="17"/>
    </row>
    <row r="585" spans="2:2" ht="15.75" customHeight="1" x14ac:dyDescent="0.2">
      <c r="B585" s="17"/>
    </row>
    <row r="586" spans="2:2" ht="15.75" customHeight="1" x14ac:dyDescent="0.2">
      <c r="B586" s="17"/>
    </row>
    <row r="587" spans="2:2" ht="15.75" customHeight="1" x14ac:dyDescent="0.2">
      <c r="B587" s="17"/>
    </row>
    <row r="588" spans="2:2" ht="15.75" customHeight="1" x14ac:dyDescent="0.2">
      <c r="B588" s="17"/>
    </row>
    <row r="589" spans="2:2" ht="15.75" customHeight="1" x14ac:dyDescent="0.2">
      <c r="B589" s="17"/>
    </row>
    <row r="590" spans="2:2" ht="15.75" customHeight="1" x14ac:dyDescent="0.2">
      <c r="B590" s="17"/>
    </row>
    <row r="591" spans="2:2" ht="15.75" customHeight="1" x14ac:dyDescent="0.2">
      <c r="B591" s="17"/>
    </row>
    <row r="592" spans="2:2" ht="15.75" customHeight="1" x14ac:dyDescent="0.2">
      <c r="B592" s="17"/>
    </row>
    <row r="593" spans="2:2" ht="15.75" customHeight="1" x14ac:dyDescent="0.2">
      <c r="B593" s="17"/>
    </row>
    <row r="594" spans="2:2" ht="15.75" customHeight="1" x14ac:dyDescent="0.2">
      <c r="B594" s="17"/>
    </row>
    <row r="595" spans="2:2" ht="15.75" customHeight="1" x14ac:dyDescent="0.2">
      <c r="B595" s="17"/>
    </row>
    <row r="596" spans="2:2" ht="15.75" customHeight="1" x14ac:dyDescent="0.2">
      <c r="B596" s="17"/>
    </row>
    <row r="597" spans="2:2" ht="15.75" customHeight="1" x14ac:dyDescent="0.2">
      <c r="B597" s="17"/>
    </row>
    <row r="598" spans="2:2" ht="15.75" customHeight="1" x14ac:dyDescent="0.2">
      <c r="B598" s="17"/>
    </row>
    <row r="599" spans="2:2" ht="15.75" customHeight="1" x14ac:dyDescent="0.2">
      <c r="B599" s="17"/>
    </row>
    <row r="600" spans="2:2" ht="15.75" customHeight="1" x14ac:dyDescent="0.2">
      <c r="B600" s="17"/>
    </row>
    <row r="601" spans="2:2" ht="15.75" customHeight="1" x14ac:dyDescent="0.2">
      <c r="B601" s="17"/>
    </row>
    <row r="602" spans="2:2" ht="15.75" customHeight="1" x14ac:dyDescent="0.2">
      <c r="B602" s="17"/>
    </row>
    <row r="603" spans="2:2" ht="15.75" customHeight="1" x14ac:dyDescent="0.2">
      <c r="B603" s="17"/>
    </row>
    <row r="604" spans="2:2" ht="15.75" customHeight="1" x14ac:dyDescent="0.2">
      <c r="B604" s="17"/>
    </row>
    <row r="605" spans="2:2" ht="15.75" customHeight="1" x14ac:dyDescent="0.2">
      <c r="B605" s="17"/>
    </row>
    <row r="606" spans="2:2" ht="15.75" customHeight="1" x14ac:dyDescent="0.2">
      <c r="B606" s="17"/>
    </row>
    <row r="607" spans="2:2" ht="15.75" customHeight="1" x14ac:dyDescent="0.2">
      <c r="B607" s="17"/>
    </row>
    <row r="608" spans="2:2" ht="15.75" customHeight="1" x14ac:dyDescent="0.2">
      <c r="B608" s="17"/>
    </row>
    <row r="609" spans="2:2" ht="15.75" customHeight="1" x14ac:dyDescent="0.2">
      <c r="B609" s="17"/>
    </row>
    <row r="610" spans="2:2" ht="15.75" customHeight="1" x14ac:dyDescent="0.2">
      <c r="B610" s="17"/>
    </row>
    <row r="611" spans="2:2" ht="15.75" customHeight="1" x14ac:dyDescent="0.2">
      <c r="B611" s="17"/>
    </row>
    <row r="612" spans="2:2" ht="15.75" customHeight="1" x14ac:dyDescent="0.2">
      <c r="B612" s="17"/>
    </row>
    <row r="613" spans="2:2" ht="15.75" customHeight="1" x14ac:dyDescent="0.2">
      <c r="B613" s="17"/>
    </row>
    <row r="614" spans="2:2" ht="15.75" customHeight="1" x14ac:dyDescent="0.2">
      <c r="B614" s="17"/>
    </row>
    <row r="615" spans="2:2" ht="15.75" customHeight="1" x14ac:dyDescent="0.2">
      <c r="B615" s="17"/>
    </row>
    <row r="616" spans="2:2" ht="15.75" customHeight="1" x14ac:dyDescent="0.2">
      <c r="B616" s="17"/>
    </row>
    <row r="617" spans="2:2" ht="15.75" customHeight="1" x14ac:dyDescent="0.2">
      <c r="B617" s="17"/>
    </row>
    <row r="618" spans="2:2" ht="15.75" customHeight="1" x14ac:dyDescent="0.2">
      <c r="B618" s="17"/>
    </row>
    <row r="619" spans="2:2" ht="15.75" customHeight="1" x14ac:dyDescent="0.2">
      <c r="B619" s="17"/>
    </row>
    <row r="620" spans="2:2" ht="15.75" customHeight="1" x14ac:dyDescent="0.2">
      <c r="B620" s="17"/>
    </row>
    <row r="621" spans="2:2" ht="15.75" customHeight="1" x14ac:dyDescent="0.2">
      <c r="B621" s="17"/>
    </row>
    <row r="622" spans="2:2" ht="15.75" customHeight="1" x14ac:dyDescent="0.2">
      <c r="B622" s="17"/>
    </row>
    <row r="623" spans="2:2" ht="15.75" customHeight="1" x14ac:dyDescent="0.2">
      <c r="B623" s="17"/>
    </row>
    <row r="624" spans="2:2" ht="15.75" customHeight="1" x14ac:dyDescent="0.2">
      <c r="B624" s="17"/>
    </row>
    <row r="625" spans="2:2" ht="15.75" customHeight="1" x14ac:dyDescent="0.2">
      <c r="B625" s="17"/>
    </row>
    <row r="626" spans="2:2" ht="15.75" customHeight="1" x14ac:dyDescent="0.2">
      <c r="B626" s="17"/>
    </row>
    <row r="627" spans="2:2" ht="15.75" customHeight="1" x14ac:dyDescent="0.2">
      <c r="B627" s="17"/>
    </row>
    <row r="628" spans="2:2" ht="15.75" customHeight="1" x14ac:dyDescent="0.2">
      <c r="B628" s="17"/>
    </row>
    <row r="629" spans="2:2" ht="15.75" customHeight="1" x14ac:dyDescent="0.2">
      <c r="B629" s="17"/>
    </row>
    <row r="630" spans="2:2" ht="15.75" customHeight="1" x14ac:dyDescent="0.2">
      <c r="B630" s="17"/>
    </row>
    <row r="631" spans="2:2" ht="15.75" customHeight="1" x14ac:dyDescent="0.2">
      <c r="B631" s="17"/>
    </row>
    <row r="632" spans="2:2" ht="15.75" customHeight="1" x14ac:dyDescent="0.2">
      <c r="B632" s="17"/>
    </row>
    <row r="633" spans="2:2" ht="15.75" customHeight="1" x14ac:dyDescent="0.2">
      <c r="B633" s="17"/>
    </row>
    <row r="634" spans="2:2" ht="15.75" customHeight="1" x14ac:dyDescent="0.2">
      <c r="B634" s="17"/>
    </row>
    <row r="635" spans="2:2" ht="15.75" customHeight="1" x14ac:dyDescent="0.2">
      <c r="B635" s="17"/>
    </row>
    <row r="636" spans="2:2" ht="15.75" customHeight="1" x14ac:dyDescent="0.2">
      <c r="B636" s="17"/>
    </row>
    <row r="637" spans="2:2" ht="15.75" customHeight="1" x14ac:dyDescent="0.2">
      <c r="B637" s="17"/>
    </row>
    <row r="638" spans="2:2" ht="15.75" customHeight="1" x14ac:dyDescent="0.2">
      <c r="B638" s="17"/>
    </row>
    <row r="639" spans="2:2" ht="15.75" customHeight="1" x14ac:dyDescent="0.2">
      <c r="B639" s="17"/>
    </row>
    <row r="640" spans="2:2" ht="15.75" customHeight="1" x14ac:dyDescent="0.2">
      <c r="B640" s="17"/>
    </row>
    <row r="641" spans="2:2" ht="15.75" customHeight="1" x14ac:dyDescent="0.2">
      <c r="B641" s="17"/>
    </row>
    <row r="642" spans="2:2" ht="15.75" customHeight="1" x14ac:dyDescent="0.2">
      <c r="B642" s="17"/>
    </row>
    <row r="643" spans="2:2" ht="15.75" customHeight="1" x14ac:dyDescent="0.2">
      <c r="B643" s="17"/>
    </row>
    <row r="644" spans="2:2" ht="15.75" customHeight="1" x14ac:dyDescent="0.2">
      <c r="B644" s="17"/>
    </row>
    <row r="645" spans="2:2" ht="15.75" customHeight="1" x14ac:dyDescent="0.2">
      <c r="B645" s="17"/>
    </row>
    <row r="646" spans="2:2" ht="15.75" customHeight="1" x14ac:dyDescent="0.2">
      <c r="B646" s="17"/>
    </row>
    <row r="647" spans="2:2" ht="15.75" customHeight="1" x14ac:dyDescent="0.2">
      <c r="B647" s="17"/>
    </row>
    <row r="648" spans="2:2" ht="15.75" customHeight="1" x14ac:dyDescent="0.2">
      <c r="B648" s="17"/>
    </row>
    <row r="649" spans="2:2" ht="15.75" customHeight="1" x14ac:dyDescent="0.2">
      <c r="B649" s="17"/>
    </row>
    <row r="650" spans="2:2" ht="15.75" customHeight="1" x14ac:dyDescent="0.2">
      <c r="B650" s="17"/>
    </row>
    <row r="651" spans="2:2" ht="15.75" customHeight="1" x14ac:dyDescent="0.2">
      <c r="B651" s="17"/>
    </row>
    <row r="652" spans="2:2" ht="15.75" customHeight="1" x14ac:dyDescent="0.2">
      <c r="B652" s="17"/>
    </row>
    <row r="653" spans="2:2" ht="15.75" customHeight="1" x14ac:dyDescent="0.2">
      <c r="B653" s="17"/>
    </row>
    <row r="654" spans="2:2" ht="15.75" customHeight="1" x14ac:dyDescent="0.2">
      <c r="B654" s="17"/>
    </row>
    <row r="655" spans="2:2" ht="15.75" customHeight="1" x14ac:dyDescent="0.2">
      <c r="B655" s="17"/>
    </row>
    <row r="656" spans="2:2" ht="15.75" customHeight="1" x14ac:dyDescent="0.2">
      <c r="B656" s="17"/>
    </row>
    <row r="657" spans="2:2" ht="15.75" customHeight="1" x14ac:dyDescent="0.2">
      <c r="B657" s="17"/>
    </row>
    <row r="658" spans="2:2" ht="15.75" customHeight="1" x14ac:dyDescent="0.2">
      <c r="B658" s="17"/>
    </row>
    <row r="659" spans="2:2" ht="15.75" customHeight="1" x14ac:dyDescent="0.2">
      <c r="B659" s="17"/>
    </row>
    <row r="660" spans="2:2" ht="15.75" customHeight="1" x14ac:dyDescent="0.2">
      <c r="B660" s="17"/>
    </row>
    <row r="661" spans="2:2" ht="15.75" customHeight="1" x14ac:dyDescent="0.2">
      <c r="B661" s="17"/>
    </row>
    <row r="662" spans="2:2" ht="15.75" customHeight="1" x14ac:dyDescent="0.2">
      <c r="B662" s="17"/>
    </row>
    <row r="663" spans="2:2" ht="15.75" customHeight="1" x14ac:dyDescent="0.2">
      <c r="B663" s="17"/>
    </row>
    <row r="664" spans="2:2" ht="15.75" customHeight="1" x14ac:dyDescent="0.2">
      <c r="B664" s="17"/>
    </row>
    <row r="665" spans="2:2" ht="15.75" customHeight="1" x14ac:dyDescent="0.2">
      <c r="B665" s="17"/>
    </row>
    <row r="666" spans="2:2" ht="15.75" customHeight="1" x14ac:dyDescent="0.2">
      <c r="B666" s="17"/>
    </row>
    <row r="667" spans="2:2" ht="15.75" customHeight="1" x14ac:dyDescent="0.2">
      <c r="B667" s="17"/>
    </row>
    <row r="668" spans="2:2" ht="15.75" customHeight="1" x14ac:dyDescent="0.2">
      <c r="B668" s="17"/>
    </row>
    <row r="669" spans="2:2" ht="15.75" customHeight="1" x14ac:dyDescent="0.2">
      <c r="B669" s="17"/>
    </row>
    <row r="670" spans="2:2" ht="15.75" customHeight="1" x14ac:dyDescent="0.2">
      <c r="B670" s="17"/>
    </row>
    <row r="671" spans="2:2" ht="15.75" customHeight="1" x14ac:dyDescent="0.2">
      <c r="B671" s="17"/>
    </row>
    <row r="672" spans="2:2" ht="15.75" customHeight="1" x14ac:dyDescent="0.2">
      <c r="B672" s="17"/>
    </row>
    <row r="673" spans="2:2" ht="15.75" customHeight="1" x14ac:dyDescent="0.2">
      <c r="B673" s="17"/>
    </row>
    <row r="674" spans="2:2" ht="15.75" customHeight="1" x14ac:dyDescent="0.2">
      <c r="B674" s="17"/>
    </row>
    <row r="675" spans="2:2" ht="15.75" customHeight="1" x14ac:dyDescent="0.2">
      <c r="B675" s="17"/>
    </row>
    <row r="676" spans="2:2" ht="15.75" customHeight="1" x14ac:dyDescent="0.2">
      <c r="B676" s="17"/>
    </row>
    <row r="677" spans="2:2" ht="15.75" customHeight="1" x14ac:dyDescent="0.2">
      <c r="B677" s="17"/>
    </row>
    <row r="678" spans="2:2" ht="15.75" customHeight="1" x14ac:dyDescent="0.2">
      <c r="B678" s="17"/>
    </row>
    <row r="679" spans="2:2" ht="15.75" customHeight="1" x14ac:dyDescent="0.2">
      <c r="B679" s="17"/>
    </row>
    <row r="680" spans="2:2" ht="15.75" customHeight="1" x14ac:dyDescent="0.2">
      <c r="B680" s="17"/>
    </row>
    <row r="681" spans="2:2" ht="15.75" customHeight="1" x14ac:dyDescent="0.2">
      <c r="B681" s="17"/>
    </row>
    <row r="682" spans="2:2" ht="15.75" customHeight="1" x14ac:dyDescent="0.2">
      <c r="B682" s="17"/>
    </row>
    <row r="683" spans="2:2" ht="15.75" customHeight="1" x14ac:dyDescent="0.2">
      <c r="B683" s="17"/>
    </row>
    <row r="684" spans="2:2" ht="15.75" customHeight="1" x14ac:dyDescent="0.2">
      <c r="B684" s="17"/>
    </row>
    <row r="685" spans="2:2" ht="15.75" customHeight="1" x14ac:dyDescent="0.2">
      <c r="B685" s="17"/>
    </row>
    <row r="686" spans="2:2" ht="15.75" customHeight="1" x14ac:dyDescent="0.2">
      <c r="B686" s="17"/>
    </row>
    <row r="687" spans="2:2" ht="15.75" customHeight="1" x14ac:dyDescent="0.2">
      <c r="B687" s="17"/>
    </row>
    <row r="688" spans="2:2" ht="15.75" customHeight="1" x14ac:dyDescent="0.2">
      <c r="B688" s="17"/>
    </row>
    <row r="689" spans="2:2" ht="15.75" customHeight="1" x14ac:dyDescent="0.2">
      <c r="B689" s="17"/>
    </row>
    <row r="690" spans="2:2" ht="15.75" customHeight="1" x14ac:dyDescent="0.2">
      <c r="B690" s="17"/>
    </row>
    <row r="691" spans="2:2" ht="15.75" customHeight="1" x14ac:dyDescent="0.2">
      <c r="B691" s="17"/>
    </row>
    <row r="692" spans="2:2" ht="15.75" customHeight="1" x14ac:dyDescent="0.2">
      <c r="B692" s="17"/>
    </row>
    <row r="693" spans="2:2" ht="15.75" customHeight="1" x14ac:dyDescent="0.2">
      <c r="B693" s="17"/>
    </row>
    <row r="694" spans="2:2" ht="15.75" customHeight="1" x14ac:dyDescent="0.2">
      <c r="B694" s="17"/>
    </row>
    <row r="695" spans="2:2" ht="15.75" customHeight="1" x14ac:dyDescent="0.2">
      <c r="B695" s="17"/>
    </row>
    <row r="696" spans="2:2" ht="15.75" customHeight="1" x14ac:dyDescent="0.2">
      <c r="B696" s="17"/>
    </row>
    <row r="697" spans="2:2" ht="15.75" customHeight="1" x14ac:dyDescent="0.2">
      <c r="B697" s="17"/>
    </row>
    <row r="698" spans="2:2" ht="15.75" customHeight="1" x14ac:dyDescent="0.2">
      <c r="B698" s="17"/>
    </row>
    <row r="699" spans="2:2" ht="15.75" customHeight="1" x14ac:dyDescent="0.2">
      <c r="B699" s="17"/>
    </row>
    <row r="700" spans="2:2" ht="15.75" customHeight="1" x14ac:dyDescent="0.2">
      <c r="B700" s="17"/>
    </row>
    <row r="701" spans="2:2" ht="15.75" customHeight="1" x14ac:dyDescent="0.2">
      <c r="B701" s="17"/>
    </row>
    <row r="702" spans="2:2" ht="15.75" customHeight="1" x14ac:dyDescent="0.2">
      <c r="B702" s="17"/>
    </row>
    <row r="703" spans="2:2" ht="15.75" customHeight="1" x14ac:dyDescent="0.2">
      <c r="B703" s="17"/>
    </row>
    <row r="704" spans="2:2" ht="15.75" customHeight="1" x14ac:dyDescent="0.2">
      <c r="B704" s="17"/>
    </row>
    <row r="705" spans="2:2" ht="15.75" customHeight="1" x14ac:dyDescent="0.2">
      <c r="B705" s="17"/>
    </row>
    <row r="706" spans="2:2" ht="15.75" customHeight="1" x14ac:dyDescent="0.2">
      <c r="B706" s="17"/>
    </row>
    <row r="707" spans="2:2" ht="15.75" customHeight="1" x14ac:dyDescent="0.2">
      <c r="B707" s="17"/>
    </row>
    <row r="708" spans="2:2" ht="15.75" customHeight="1" x14ac:dyDescent="0.2">
      <c r="B708" s="17"/>
    </row>
    <row r="709" spans="2:2" ht="15.75" customHeight="1" x14ac:dyDescent="0.2">
      <c r="B709" s="17"/>
    </row>
    <row r="710" spans="2:2" ht="15.75" customHeight="1" x14ac:dyDescent="0.2">
      <c r="B710" s="17"/>
    </row>
    <row r="711" spans="2:2" ht="15.75" customHeight="1" x14ac:dyDescent="0.2">
      <c r="B711" s="17"/>
    </row>
    <row r="712" spans="2:2" ht="15.75" customHeight="1" x14ac:dyDescent="0.2">
      <c r="B712" s="17"/>
    </row>
    <row r="713" spans="2:2" ht="15.75" customHeight="1" x14ac:dyDescent="0.2">
      <c r="B713" s="17"/>
    </row>
    <row r="714" spans="2:2" ht="15.75" customHeight="1" x14ac:dyDescent="0.2">
      <c r="B714" s="17"/>
    </row>
    <row r="715" spans="2:2" ht="15.75" customHeight="1" x14ac:dyDescent="0.2">
      <c r="B715" s="17"/>
    </row>
    <row r="716" spans="2:2" ht="15.75" customHeight="1" x14ac:dyDescent="0.2">
      <c r="B716" s="17"/>
    </row>
    <row r="717" spans="2:2" ht="15.75" customHeight="1" x14ac:dyDescent="0.2">
      <c r="B717" s="17"/>
    </row>
    <row r="718" spans="2:2" ht="15.75" customHeight="1" x14ac:dyDescent="0.2">
      <c r="B718" s="17"/>
    </row>
    <row r="719" spans="2:2" ht="15.75" customHeight="1" x14ac:dyDescent="0.2">
      <c r="B719" s="17"/>
    </row>
    <row r="720" spans="2:2" ht="15.75" customHeight="1" x14ac:dyDescent="0.2">
      <c r="B720" s="17"/>
    </row>
    <row r="721" spans="2:2" ht="15.75" customHeight="1" x14ac:dyDescent="0.2">
      <c r="B721" s="17"/>
    </row>
    <row r="722" spans="2:2" ht="15.75" customHeight="1" x14ac:dyDescent="0.2">
      <c r="B722" s="17"/>
    </row>
    <row r="723" spans="2:2" ht="15.75" customHeight="1" x14ac:dyDescent="0.2">
      <c r="B723" s="17"/>
    </row>
    <row r="724" spans="2:2" ht="15.75" customHeight="1" x14ac:dyDescent="0.2">
      <c r="B724" s="17"/>
    </row>
    <row r="725" spans="2:2" ht="15.75" customHeight="1" x14ac:dyDescent="0.2">
      <c r="B725" s="17"/>
    </row>
    <row r="726" spans="2:2" ht="15.75" customHeight="1" x14ac:dyDescent="0.2">
      <c r="B726" s="17"/>
    </row>
    <row r="727" spans="2:2" ht="15.75" customHeight="1" x14ac:dyDescent="0.2">
      <c r="B727" s="17"/>
    </row>
    <row r="728" spans="2:2" ht="15.75" customHeight="1" x14ac:dyDescent="0.2">
      <c r="B728" s="17"/>
    </row>
    <row r="729" spans="2:2" ht="15.75" customHeight="1" x14ac:dyDescent="0.2">
      <c r="B729" s="17"/>
    </row>
    <row r="730" spans="2:2" ht="15.75" customHeight="1" x14ac:dyDescent="0.2">
      <c r="B730" s="17"/>
    </row>
    <row r="731" spans="2:2" ht="15.75" customHeight="1" x14ac:dyDescent="0.2">
      <c r="B731" s="17"/>
    </row>
    <row r="732" spans="2:2" ht="15.75" customHeight="1" x14ac:dyDescent="0.2">
      <c r="B732" s="17"/>
    </row>
    <row r="733" spans="2:2" ht="15.75" customHeight="1" x14ac:dyDescent="0.2">
      <c r="B733" s="17"/>
    </row>
    <row r="734" spans="2:2" ht="15.75" customHeight="1" x14ac:dyDescent="0.2">
      <c r="B734" s="17"/>
    </row>
    <row r="735" spans="2:2" ht="15.75" customHeight="1" x14ac:dyDescent="0.2">
      <c r="B735" s="17"/>
    </row>
    <row r="736" spans="2:2" ht="15.75" customHeight="1" x14ac:dyDescent="0.2">
      <c r="B736" s="17"/>
    </row>
    <row r="737" spans="2:2" ht="15.75" customHeight="1" x14ac:dyDescent="0.2">
      <c r="B737" s="17"/>
    </row>
    <row r="738" spans="2:2" ht="15.75" customHeight="1" x14ac:dyDescent="0.2">
      <c r="B738" s="17"/>
    </row>
    <row r="739" spans="2:2" ht="15.75" customHeight="1" x14ac:dyDescent="0.2">
      <c r="B739" s="17"/>
    </row>
    <row r="740" spans="2:2" ht="15.75" customHeight="1" x14ac:dyDescent="0.2">
      <c r="B740" s="17"/>
    </row>
    <row r="741" spans="2:2" ht="15.75" customHeight="1" x14ac:dyDescent="0.2">
      <c r="B741" s="17"/>
    </row>
    <row r="742" spans="2:2" ht="15.75" customHeight="1" x14ac:dyDescent="0.2">
      <c r="B742" s="17"/>
    </row>
    <row r="743" spans="2:2" ht="15.75" customHeight="1" x14ac:dyDescent="0.2">
      <c r="B743" s="17"/>
    </row>
    <row r="744" spans="2:2" ht="15.75" customHeight="1" x14ac:dyDescent="0.2">
      <c r="B744" s="17"/>
    </row>
    <row r="745" spans="2:2" ht="15.75" customHeight="1" x14ac:dyDescent="0.2">
      <c r="B745" s="17"/>
    </row>
    <row r="746" spans="2:2" ht="15.75" customHeight="1" x14ac:dyDescent="0.2">
      <c r="B746" s="17"/>
    </row>
    <row r="747" spans="2:2" ht="15.75" customHeight="1" x14ac:dyDescent="0.2">
      <c r="B747" s="17"/>
    </row>
    <row r="748" spans="2:2" ht="15.75" customHeight="1" x14ac:dyDescent="0.2">
      <c r="B748" s="17"/>
    </row>
    <row r="749" spans="2:2" ht="15.75" customHeight="1" x14ac:dyDescent="0.2">
      <c r="B749" s="17"/>
    </row>
    <row r="750" spans="2:2" ht="15.75" customHeight="1" x14ac:dyDescent="0.2">
      <c r="B750" s="17"/>
    </row>
    <row r="751" spans="2:2" ht="15.75" customHeight="1" x14ac:dyDescent="0.2">
      <c r="B751" s="17"/>
    </row>
    <row r="752" spans="2:2" ht="15.75" customHeight="1" x14ac:dyDescent="0.2">
      <c r="B752" s="17"/>
    </row>
    <row r="753" spans="2:2" ht="15.75" customHeight="1" x14ac:dyDescent="0.2">
      <c r="B753" s="17"/>
    </row>
    <row r="754" spans="2:2" ht="15.75" customHeight="1" x14ac:dyDescent="0.2">
      <c r="B754" s="17"/>
    </row>
    <row r="755" spans="2:2" ht="15.75" customHeight="1" x14ac:dyDescent="0.2">
      <c r="B755" s="17"/>
    </row>
    <row r="756" spans="2:2" ht="15.75" customHeight="1" x14ac:dyDescent="0.2">
      <c r="B756" s="17"/>
    </row>
    <row r="757" spans="2:2" ht="15.75" customHeight="1" x14ac:dyDescent="0.2">
      <c r="B757" s="17"/>
    </row>
    <row r="758" spans="2:2" ht="15.75" customHeight="1" x14ac:dyDescent="0.2">
      <c r="B758" s="17"/>
    </row>
    <row r="759" spans="2:2" ht="15.75" customHeight="1" x14ac:dyDescent="0.2">
      <c r="B759" s="17"/>
    </row>
    <row r="760" spans="2:2" ht="15.75" customHeight="1" x14ac:dyDescent="0.2">
      <c r="B760" s="17"/>
    </row>
    <row r="761" spans="2:2" ht="15.75" customHeight="1" x14ac:dyDescent="0.2">
      <c r="B761" s="17"/>
    </row>
    <row r="762" spans="2:2" ht="15.75" customHeight="1" x14ac:dyDescent="0.2">
      <c r="B762" s="17"/>
    </row>
    <row r="763" spans="2:2" ht="15.75" customHeight="1" x14ac:dyDescent="0.2">
      <c r="B763" s="17"/>
    </row>
    <row r="764" spans="2:2" ht="15.75" customHeight="1" x14ac:dyDescent="0.2">
      <c r="B764" s="17"/>
    </row>
    <row r="765" spans="2:2" ht="15.75" customHeight="1" x14ac:dyDescent="0.2">
      <c r="B765" s="17"/>
    </row>
    <row r="766" spans="2:2" ht="15.75" customHeight="1" x14ac:dyDescent="0.2">
      <c r="B766" s="17"/>
    </row>
    <row r="767" spans="2:2" ht="15.75" customHeight="1" x14ac:dyDescent="0.2">
      <c r="B767" s="17"/>
    </row>
    <row r="768" spans="2:2" ht="15.75" customHeight="1" x14ac:dyDescent="0.2">
      <c r="B768" s="17"/>
    </row>
    <row r="769" spans="2:2" ht="15.75" customHeight="1" x14ac:dyDescent="0.2">
      <c r="B769" s="17"/>
    </row>
    <row r="770" spans="2:2" ht="15.75" customHeight="1" x14ac:dyDescent="0.2">
      <c r="B770" s="17"/>
    </row>
    <row r="771" spans="2:2" ht="15.75" customHeight="1" x14ac:dyDescent="0.2">
      <c r="B771" s="17"/>
    </row>
    <row r="772" spans="2:2" ht="15.75" customHeight="1" x14ac:dyDescent="0.2">
      <c r="B772" s="17"/>
    </row>
    <row r="773" spans="2:2" ht="15.75" customHeight="1" x14ac:dyDescent="0.2">
      <c r="B773" s="17"/>
    </row>
    <row r="774" spans="2:2" ht="15.75" customHeight="1" x14ac:dyDescent="0.2">
      <c r="B774" s="17"/>
    </row>
    <row r="775" spans="2:2" ht="15.75" customHeight="1" x14ac:dyDescent="0.2">
      <c r="B775" s="17"/>
    </row>
    <row r="776" spans="2:2" ht="15.75" customHeight="1" x14ac:dyDescent="0.2">
      <c r="B776" s="17"/>
    </row>
    <row r="777" spans="2:2" ht="15.75" customHeight="1" x14ac:dyDescent="0.2">
      <c r="B777" s="17"/>
    </row>
    <row r="778" spans="2:2" ht="15.75" customHeight="1" x14ac:dyDescent="0.2">
      <c r="B778" s="17"/>
    </row>
    <row r="779" spans="2:2" ht="15.75" customHeight="1" x14ac:dyDescent="0.2">
      <c r="B779" s="17"/>
    </row>
    <row r="780" spans="2:2" ht="15.75" customHeight="1" x14ac:dyDescent="0.2">
      <c r="B780" s="17"/>
    </row>
    <row r="781" spans="2:2" ht="15.75" customHeight="1" x14ac:dyDescent="0.2">
      <c r="B781" s="17"/>
    </row>
    <row r="782" spans="2:2" ht="15.75" customHeight="1" x14ac:dyDescent="0.2">
      <c r="B782" s="17"/>
    </row>
    <row r="783" spans="2:2" ht="15.75" customHeight="1" x14ac:dyDescent="0.2">
      <c r="B783" s="17"/>
    </row>
    <row r="784" spans="2:2" ht="15.75" customHeight="1" x14ac:dyDescent="0.2">
      <c r="B784" s="17"/>
    </row>
    <row r="785" spans="2:2" ht="15.75" customHeight="1" x14ac:dyDescent="0.2">
      <c r="B785" s="17"/>
    </row>
    <row r="786" spans="2:2" ht="15.75" customHeight="1" x14ac:dyDescent="0.2">
      <c r="B786" s="17"/>
    </row>
    <row r="787" spans="2:2" ht="15.75" customHeight="1" x14ac:dyDescent="0.2">
      <c r="B787" s="17"/>
    </row>
    <row r="788" spans="2:2" ht="15.75" customHeight="1" x14ac:dyDescent="0.2">
      <c r="B788" s="17"/>
    </row>
    <row r="789" spans="2:2" ht="15.75" customHeight="1" x14ac:dyDescent="0.2">
      <c r="B789" s="17"/>
    </row>
    <row r="790" spans="2:2" ht="15.75" customHeight="1" x14ac:dyDescent="0.2">
      <c r="B790" s="17"/>
    </row>
    <row r="791" spans="2:2" ht="15.75" customHeight="1" x14ac:dyDescent="0.2">
      <c r="B791" s="17"/>
    </row>
    <row r="792" spans="2:2" ht="15.75" customHeight="1" x14ac:dyDescent="0.2">
      <c r="B792" s="17"/>
    </row>
    <row r="793" spans="2:2" ht="15.75" customHeight="1" x14ac:dyDescent="0.2">
      <c r="B793" s="17"/>
    </row>
    <row r="794" spans="2:2" ht="15.75" customHeight="1" x14ac:dyDescent="0.2">
      <c r="B794" s="17"/>
    </row>
    <row r="795" spans="2:2" ht="15.75" customHeight="1" x14ac:dyDescent="0.2">
      <c r="B795" s="17"/>
    </row>
    <row r="796" spans="2:2" ht="15.75" customHeight="1" x14ac:dyDescent="0.2">
      <c r="B796" s="17"/>
    </row>
    <row r="797" spans="2:2" ht="15.75" customHeight="1" x14ac:dyDescent="0.2">
      <c r="B797" s="17"/>
    </row>
    <row r="798" spans="2:2" ht="15.75" customHeight="1" x14ac:dyDescent="0.2">
      <c r="B798" s="17"/>
    </row>
    <row r="799" spans="2:2" ht="15.75" customHeight="1" x14ac:dyDescent="0.2">
      <c r="B799" s="17"/>
    </row>
    <row r="800" spans="2:2" ht="15.75" customHeight="1" x14ac:dyDescent="0.2">
      <c r="B800" s="17"/>
    </row>
    <row r="801" spans="2:2" ht="15.75" customHeight="1" x14ac:dyDescent="0.2">
      <c r="B801" s="17"/>
    </row>
    <row r="802" spans="2:2" ht="15.75" customHeight="1" x14ac:dyDescent="0.2">
      <c r="B802" s="17"/>
    </row>
    <row r="803" spans="2:2" ht="15.75" customHeight="1" x14ac:dyDescent="0.2">
      <c r="B803" s="17"/>
    </row>
    <row r="804" spans="2:2" ht="15.75" customHeight="1" x14ac:dyDescent="0.2">
      <c r="B804" s="17"/>
    </row>
    <row r="805" spans="2:2" ht="15.75" customHeight="1" x14ac:dyDescent="0.2">
      <c r="B805" s="17"/>
    </row>
    <row r="806" spans="2:2" ht="15.75" customHeight="1" x14ac:dyDescent="0.2">
      <c r="B806" s="17"/>
    </row>
    <row r="807" spans="2:2" ht="15.75" customHeight="1" x14ac:dyDescent="0.2">
      <c r="B807" s="17"/>
    </row>
    <row r="808" spans="2:2" ht="15.75" customHeight="1" x14ac:dyDescent="0.2">
      <c r="B808" s="17"/>
    </row>
    <row r="809" spans="2:2" ht="15.75" customHeight="1" x14ac:dyDescent="0.2">
      <c r="B809" s="17"/>
    </row>
    <row r="810" spans="2:2" ht="15.75" customHeight="1" x14ac:dyDescent="0.2">
      <c r="B810" s="17"/>
    </row>
    <row r="811" spans="2:2" ht="15.75" customHeight="1" x14ac:dyDescent="0.2">
      <c r="B811" s="17"/>
    </row>
    <row r="812" spans="2:2" ht="15.75" customHeight="1" x14ac:dyDescent="0.2">
      <c r="B812" s="17"/>
    </row>
    <row r="813" spans="2:2" ht="15.75" customHeight="1" x14ac:dyDescent="0.2">
      <c r="B813" s="17"/>
    </row>
    <row r="814" spans="2:2" ht="15.75" customHeight="1" x14ac:dyDescent="0.2">
      <c r="B814" s="17"/>
    </row>
    <row r="815" spans="2:2" ht="15.75" customHeight="1" x14ac:dyDescent="0.2">
      <c r="B815" s="17"/>
    </row>
    <row r="816" spans="2:2" ht="15.75" customHeight="1" x14ac:dyDescent="0.2">
      <c r="B816" s="17"/>
    </row>
    <row r="817" spans="2:2" ht="15.75" customHeight="1" x14ac:dyDescent="0.2">
      <c r="B817" s="17"/>
    </row>
    <row r="818" spans="2:2" ht="15.75" customHeight="1" x14ac:dyDescent="0.2">
      <c r="B818" s="17"/>
    </row>
    <row r="819" spans="2:2" ht="15.75" customHeight="1" x14ac:dyDescent="0.2">
      <c r="B819" s="17"/>
    </row>
    <row r="820" spans="2:2" ht="15.75" customHeight="1" x14ac:dyDescent="0.2">
      <c r="B820" s="17"/>
    </row>
    <row r="821" spans="2:2" ht="15.75" customHeight="1" x14ac:dyDescent="0.2">
      <c r="B821" s="17"/>
    </row>
    <row r="822" spans="2:2" ht="15.75" customHeight="1" x14ac:dyDescent="0.2">
      <c r="B822" s="17"/>
    </row>
    <row r="823" spans="2:2" ht="15.75" customHeight="1" x14ac:dyDescent="0.2">
      <c r="B823" s="17"/>
    </row>
    <row r="824" spans="2:2" ht="15.75" customHeight="1" x14ac:dyDescent="0.2">
      <c r="B824" s="17"/>
    </row>
    <row r="825" spans="2:2" ht="15.75" customHeight="1" x14ac:dyDescent="0.2">
      <c r="B825" s="17"/>
    </row>
    <row r="826" spans="2:2" ht="15.75" customHeight="1" x14ac:dyDescent="0.2">
      <c r="B826" s="17"/>
    </row>
    <row r="827" spans="2:2" ht="15.75" customHeight="1" x14ac:dyDescent="0.2">
      <c r="B827" s="17"/>
    </row>
    <row r="828" spans="2:2" ht="15.75" customHeight="1" x14ac:dyDescent="0.2">
      <c r="B828" s="17"/>
    </row>
    <row r="829" spans="2:2" ht="15.75" customHeight="1" x14ac:dyDescent="0.2">
      <c r="B829" s="17"/>
    </row>
    <row r="830" spans="2:2" ht="15.75" customHeight="1" x14ac:dyDescent="0.2">
      <c r="B830" s="17"/>
    </row>
    <row r="831" spans="2:2" ht="15.75" customHeight="1" x14ac:dyDescent="0.2">
      <c r="B831" s="17"/>
    </row>
    <row r="832" spans="2:2" ht="15.75" customHeight="1" x14ac:dyDescent="0.2">
      <c r="B832" s="17"/>
    </row>
    <row r="833" spans="2:2" ht="15.75" customHeight="1" x14ac:dyDescent="0.2">
      <c r="B833" s="17"/>
    </row>
    <row r="834" spans="2:2" ht="15.75" customHeight="1" x14ac:dyDescent="0.2">
      <c r="B834" s="17"/>
    </row>
    <row r="835" spans="2:2" ht="15.75" customHeight="1" x14ac:dyDescent="0.2">
      <c r="B835" s="17"/>
    </row>
    <row r="836" spans="2:2" ht="15.75" customHeight="1" x14ac:dyDescent="0.2">
      <c r="B836" s="17"/>
    </row>
    <row r="837" spans="2:2" ht="15.75" customHeight="1" x14ac:dyDescent="0.2">
      <c r="B837" s="17"/>
    </row>
    <row r="838" spans="2:2" ht="15.75" customHeight="1" x14ac:dyDescent="0.2">
      <c r="B838" s="17"/>
    </row>
    <row r="839" spans="2:2" ht="15.75" customHeight="1" x14ac:dyDescent="0.2">
      <c r="B839" s="17"/>
    </row>
    <row r="840" spans="2:2" ht="15.75" customHeight="1" x14ac:dyDescent="0.2">
      <c r="B840" s="17"/>
    </row>
    <row r="841" spans="2:2" ht="15.75" customHeight="1" x14ac:dyDescent="0.2">
      <c r="B841" s="17"/>
    </row>
    <row r="842" spans="2:2" ht="15.75" customHeight="1" x14ac:dyDescent="0.2">
      <c r="B842" s="17"/>
    </row>
    <row r="843" spans="2:2" ht="15.75" customHeight="1" x14ac:dyDescent="0.2">
      <c r="B843" s="17"/>
    </row>
    <row r="844" spans="2:2" ht="15.75" customHeight="1" x14ac:dyDescent="0.2">
      <c r="B844" s="17"/>
    </row>
    <row r="845" spans="2:2" ht="15.75" customHeight="1" x14ac:dyDescent="0.2">
      <c r="B845" s="17"/>
    </row>
    <row r="846" spans="2:2" ht="15.75" customHeight="1" x14ac:dyDescent="0.2">
      <c r="B846" s="17"/>
    </row>
    <row r="847" spans="2:2" ht="15.75" customHeight="1" x14ac:dyDescent="0.2">
      <c r="B847" s="17"/>
    </row>
    <row r="848" spans="2:2" ht="15.75" customHeight="1" x14ac:dyDescent="0.2">
      <c r="B848" s="17"/>
    </row>
    <row r="849" spans="2:2" ht="15.75" customHeight="1" x14ac:dyDescent="0.2">
      <c r="B849" s="17"/>
    </row>
    <row r="850" spans="2:2" ht="15.75" customHeight="1" x14ac:dyDescent="0.2">
      <c r="B850" s="17"/>
    </row>
    <row r="851" spans="2:2" ht="15.75" customHeight="1" x14ac:dyDescent="0.2">
      <c r="B851" s="17"/>
    </row>
    <row r="852" spans="2:2" ht="15.75" customHeight="1" x14ac:dyDescent="0.2">
      <c r="B852" s="17"/>
    </row>
    <row r="853" spans="2:2" ht="15.75" customHeight="1" x14ac:dyDescent="0.2">
      <c r="B853" s="17"/>
    </row>
    <row r="854" spans="2:2" ht="15.75" customHeight="1" x14ac:dyDescent="0.2">
      <c r="B854" s="17"/>
    </row>
    <row r="855" spans="2:2" ht="15.75" customHeight="1" x14ac:dyDescent="0.2">
      <c r="B855" s="17"/>
    </row>
    <row r="856" spans="2:2" ht="15.75" customHeight="1" x14ac:dyDescent="0.2">
      <c r="B856" s="17"/>
    </row>
    <row r="857" spans="2:2" ht="15.75" customHeight="1" x14ac:dyDescent="0.2">
      <c r="B857" s="17"/>
    </row>
    <row r="858" spans="2:2" ht="15.75" customHeight="1" x14ac:dyDescent="0.2">
      <c r="B858" s="17"/>
    </row>
    <row r="859" spans="2:2" ht="15.75" customHeight="1" x14ac:dyDescent="0.2">
      <c r="B859" s="17"/>
    </row>
    <row r="860" spans="2:2" ht="15.75" customHeight="1" x14ac:dyDescent="0.2">
      <c r="B860" s="17"/>
    </row>
    <row r="861" spans="2:2" ht="15.75" customHeight="1" x14ac:dyDescent="0.2">
      <c r="B861" s="17"/>
    </row>
    <row r="862" spans="2:2" ht="15.75" customHeight="1" x14ac:dyDescent="0.2">
      <c r="B862" s="17"/>
    </row>
    <row r="863" spans="2:2" ht="15.75" customHeight="1" x14ac:dyDescent="0.2">
      <c r="B863" s="17"/>
    </row>
    <row r="864" spans="2:2" ht="15.75" customHeight="1" x14ac:dyDescent="0.2">
      <c r="B864" s="17"/>
    </row>
    <row r="865" spans="2:2" ht="15.75" customHeight="1" x14ac:dyDescent="0.2">
      <c r="B865" s="17"/>
    </row>
    <row r="866" spans="2:2" ht="15.75" customHeight="1" x14ac:dyDescent="0.2">
      <c r="B866" s="17"/>
    </row>
    <row r="867" spans="2:2" ht="15.75" customHeight="1" x14ac:dyDescent="0.2">
      <c r="B867" s="17"/>
    </row>
    <row r="868" spans="2:2" ht="15.75" customHeight="1" x14ac:dyDescent="0.2">
      <c r="B868" s="17"/>
    </row>
    <row r="869" spans="2:2" ht="15.75" customHeight="1" x14ac:dyDescent="0.2">
      <c r="B869" s="17"/>
    </row>
    <row r="870" spans="2:2" ht="15.75" customHeight="1" x14ac:dyDescent="0.2">
      <c r="B870" s="17"/>
    </row>
    <row r="871" spans="2:2" ht="15.75" customHeight="1" x14ac:dyDescent="0.2">
      <c r="B871" s="17"/>
    </row>
    <row r="872" spans="2:2" ht="15.75" customHeight="1" x14ac:dyDescent="0.2">
      <c r="B872" s="17"/>
    </row>
    <row r="873" spans="2:2" ht="15.75" customHeight="1" x14ac:dyDescent="0.2">
      <c r="B873" s="17"/>
    </row>
    <row r="874" spans="2:2" ht="15.75" customHeight="1" x14ac:dyDescent="0.2">
      <c r="B874" s="17"/>
    </row>
    <row r="875" spans="2:2" ht="15.75" customHeight="1" x14ac:dyDescent="0.2">
      <c r="B875" s="17"/>
    </row>
    <row r="876" spans="2:2" ht="15.75" customHeight="1" x14ac:dyDescent="0.2">
      <c r="B876" s="17"/>
    </row>
    <row r="877" spans="2:2" ht="15.75" customHeight="1" x14ac:dyDescent="0.2">
      <c r="B877" s="17"/>
    </row>
    <row r="878" spans="2:2" ht="15.75" customHeight="1" x14ac:dyDescent="0.2">
      <c r="B878" s="17"/>
    </row>
    <row r="879" spans="2:2" ht="15.75" customHeight="1" x14ac:dyDescent="0.2">
      <c r="B879" s="17"/>
    </row>
    <row r="880" spans="2:2" ht="15.75" customHeight="1" x14ac:dyDescent="0.2">
      <c r="B880" s="17"/>
    </row>
    <row r="881" spans="2:2" ht="15.75" customHeight="1" x14ac:dyDescent="0.2">
      <c r="B881" s="17"/>
    </row>
    <row r="882" spans="2:2" ht="15.75" customHeight="1" x14ac:dyDescent="0.2">
      <c r="B882" s="17"/>
    </row>
    <row r="883" spans="2:2" ht="15.75" customHeight="1" x14ac:dyDescent="0.2">
      <c r="B883" s="17"/>
    </row>
    <row r="884" spans="2:2" ht="15.75" customHeight="1" x14ac:dyDescent="0.2">
      <c r="B884" s="17"/>
    </row>
    <row r="885" spans="2:2" ht="15.75" customHeight="1" x14ac:dyDescent="0.2">
      <c r="B885" s="17"/>
    </row>
    <row r="886" spans="2:2" ht="15.75" customHeight="1" x14ac:dyDescent="0.2">
      <c r="B886" s="17"/>
    </row>
    <row r="887" spans="2:2" ht="15.75" customHeight="1" x14ac:dyDescent="0.2">
      <c r="B887" s="17"/>
    </row>
    <row r="888" spans="2:2" ht="15.75" customHeight="1" x14ac:dyDescent="0.2">
      <c r="B888" s="17"/>
    </row>
    <row r="889" spans="2:2" ht="15.75" customHeight="1" x14ac:dyDescent="0.2">
      <c r="B889" s="17"/>
    </row>
    <row r="890" spans="2:2" ht="15.75" customHeight="1" x14ac:dyDescent="0.2">
      <c r="B890" s="17"/>
    </row>
    <row r="891" spans="2:2" ht="15.75" customHeight="1" x14ac:dyDescent="0.2">
      <c r="B891" s="17"/>
    </row>
    <row r="892" spans="2:2" ht="15.75" customHeight="1" x14ac:dyDescent="0.2">
      <c r="B892" s="17"/>
    </row>
    <row r="893" spans="2:2" ht="15.75" customHeight="1" x14ac:dyDescent="0.2">
      <c r="B893" s="17"/>
    </row>
    <row r="894" spans="2:2" ht="15.75" customHeight="1" x14ac:dyDescent="0.2">
      <c r="B894" s="17"/>
    </row>
    <row r="895" spans="2:2" ht="15.75" customHeight="1" x14ac:dyDescent="0.2">
      <c r="B895" s="17"/>
    </row>
    <row r="896" spans="2:2" ht="15.75" customHeight="1" x14ac:dyDescent="0.2">
      <c r="B896" s="17"/>
    </row>
    <row r="897" spans="2:2" ht="15.75" customHeight="1" x14ac:dyDescent="0.2">
      <c r="B897" s="17"/>
    </row>
    <row r="898" spans="2:2" ht="15.75" customHeight="1" x14ac:dyDescent="0.2">
      <c r="B898" s="17"/>
    </row>
    <row r="899" spans="2:2" ht="15.75" customHeight="1" x14ac:dyDescent="0.2">
      <c r="B899" s="17"/>
    </row>
    <row r="900" spans="2:2" ht="15.75" customHeight="1" x14ac:dyDescent="0.2">
      <c r="B900" s="17"/>
    </row>
    <row r="901" spans="2:2" ht="15.75" customHeight="1" x14ac:dyDescent="0.2">
      <c r="B901" s="17"/>
    </row>
    <row r="902" spans="2:2" ht="15.75" customHeight="1" x14ac:dyDescent="0.2">
      <c r="B902" s="17"/>
    </row>
    <row r="903" spans="2:2" ht="15.75" customHeight="1" x14ac:dyDescent="0.2">
      <c r="B903" s="17"/>
    </row>
    <row r="904" spans="2:2" ht="15.75" customHeight="1" x14ac:dyDescent="0.2">
      <c r="B904" s="17"/>
    </row>
    <row r="905" spans="2:2" ht="15.75" customHeight="1" x14ac:dyDescent="0.2">
      <c r="B905" s="17"/>
    </row>
    <row r="906" spans="2:2" ht="15.75" customHeight="1" x14ac:dyDescent="0.2">
      <c r="B906" s="17"/>
    </row>
    <row r="907" spans="2:2" ht="15.75" customHeight="1" x14ac:dyDescent="0.2">
      <c r="B907" s="17"/>
    </row>
    <row r="908" spans="2:2" ht="15.75" customHeight="1" x14ac:dyDescent="0.2">
      <c r="B908" s="17"/>
    </row>
    <row r="909" spans="2:2" ht="15.75" customHeight="1" x14ac:dyDescent="0.2">
      <c r="B909" s="17"/>
    </row>
    <row r="910" spans="2:2" ht="15.75" customHeight="1" x14ac:dyDescent="0.2">
      <c r="B910" s="17"/>
    </row>
    <row r="911" spans="2:2" ht="15.75" customHeight="1" x14ac:dyDescent="0.2">
      <c r="B911" s="17"/>
    </row>
    <row r="912" spans="2:2" ht="15.75" customHeight="1" x14ac:dyDescent="0.2">
      <c r="B912" s="17"/>
    </row>
    <row r="913" spans="2:2" ht="15.75" customHeight="1" x14ac:dyDescent="0.2">
      <c r="B913" s="17"/>
    </row>
    <row r="914" spans="2:2" ht="15.75" customHeight="1" x14ac:dyDescent="0.2">
      <c r="B914" s="17"/>
    </row>
    <row r="915" spans="2:2" ht="15.75" customHeight="1" x14ac:dyDescent="0.2">
      <c r="B915" s="17"/>
    </row>
    <row r="916" spans="2:2" ht="15.75" customHeight="1" x14ac:dyDescent="0.2">
      <c r="B916" s="17"/>
    </row>
    <row r="917" spans="2:2" ht="15.75" customHeight="1" x14ac:dyDescent="0.2">
      <c r="B917" s="17"/>
    </row>
    <row r="918" spans="2:2" ht="15.75" customHeight="1" x14ac:dyDescent="0.2">
      <c r="B918" s="17"/>
    </row>
    <row r="919" spans="2:2" ht="15.75" customHeight="1" x14ac:dyDescent="0.2">
      <c r="B919" s="17"/>
    </row>
    <row r="920" spans="2:2" ht="15.75" customHeight="1" x14ac:dyDescent="0.2">
      <c r="B920" s="17"/>
    </row>
    <row r="921" spans="2:2" ht="15.75" customHeight="1" x14ac:dyDescent="0.2">
      <c r="B921" s="17"/>
    </row>
    <row r="922" spans="2:2" ht="15.75" customHeight="1" x14ac:dyDescent="0.2">
      <c r="B922" s="17"/>
    </row>
    <row r="923" spans="2:2" ht="15.75" customHeight="1" x14ac:dyDescent="0.2">
      <c r="B923" s="17"/>
    </row>
    <row r="924" spans="2:2" ht="15.75" customHeight="1" x14ac:dyDescent="0.2">
      <c r="B924" s="17"/>
    </row>
    <row r="925" spans="2:2" ht="15.75" customHeight="1" x14ac:dyDescent="0.2">
      <c r="B925" s="17"/>
    </row>
    <row r="926" spans="2:2" ht="15.75" customHeight="1" x14ac:dyDescent="0.2">
      <c r="B926" s="17"/>
    </row>
    <row r="927" spans="2:2" ht="15.75" customHeight="1" x14ac:dyDescent="0.2">
      <c r="B927" s="17"/>
    </row>
    <row r="928" spans="2:2" ht="15.75" customHeight="1" x14ac:dyDescent="0.2">
      <c r="B928" s="17"/>
    </row>
    <row r="929" spans="2:2" ht="15.75" customHeight="1" x14ac:dyDescent="0.2">
      <c r="B929" s="17"/>
    </row>
    <row r="930" spans="2:2" ht="15.75" customHeight="1" x14ac:dyDescent="0.2">
      <c r="B930" s="17"/>
    </row>
    <row r="931" spans="2:2" ht="15.75" customHeight="1" x14ac:dyDescent="0.2">
      <c r="B931" s="17"/>
    </row>
    <row r="932" spans="2:2" ht="15.75" customHeight="1" x14ac:dyDescent="0.2">
      <c r="B932" s="17"/>
    </row>
    <row r="933" spans="2:2" ht="15.75" customHeight="1" x14ac:dyDescent="0.2">
      <c r="B933" s="17"/>
    </row>
    <row r="934" spans="2:2" ht="15.75" customHeight="1" x14ac:dyDescent="0.2">
      <c r="B934" s="17"/>
    </row>
    <row r="935" spans="2:2" ht="15.75" customHeight="1" x14ac:dyDescent="0.2">
      <c r="B935" s="17"/>
    </row>
    <row r="936" spans="2:2" ht="15.75" customHeight="1" x14ac:dyDescent="0.2">
      <c r="B936" s="17"/>
    </row>
    <row r="937" spans="2:2" ht="15.75" customHeight="1" x14ac:dyDescent="0.2">
      <c r="B937" s="17"/>
    </row>
    <row r="938" spans="2:2" ht="15.75" customHeight="1" x14ac:dyDescent="0.2">
      <c r="B938" s="17"/>
    </row>
    <row r="939" spans="2:2" ht="15.75" customHeight="1" x14ac:dyDescent="0.2">
      <c r="B939" s="17"/>
    </row>
    <row r="940" spans="2:2" ht="15.75" customHeight="1" x14ac:dyDescent="0.2">
      <c r="B940" s="17"/>
    </row>
    <row r="941" spans="2:2" ht="15.75" customHeight="1" x14ac:dyDescent="0.2">
      <c r="B941" s="17"/>
    </row>
    <row r="942" spans="2:2" ht="15.75" customHeight="1" x14ac:dyDescent="0.2">
      <c r="B942" s="17"/>
    </row>
    <row r="943" spans="2:2" ht="15.75" customHeight="1" x14ac:dyDescent="0.2">
      <c r="B943" s="17"/>
    </row>
    <row r="944" spans="2:2" ht="15.75" customHeight="1" x14ac:dyDescent="0.2">
      <c r="B944" s="17"/>
    </row>
    <row r="945" spans="2:2" ht="15.75" customHeight="1" x14ac:dyDescent="0.2">
      <c r="B945" s="17"/>
    </row>
    <row r="946" spans="2:2" ht="15.75" customHeight="1" x14ac:dyDescent="0.2">
      <c r="B946" s="17"/>
    </row>
    <row r="947" spans="2:2" ht="15.75" customHeight="1" x14ac:dyDescent="0.2">
      <c r="B947" s="17"/>
    </row>
    <row r="948" spans="2:2" ht="15.75" customHeight="1" x14ac:dyDescent="0.2">
      <c r="B948" s="17"/>
    </row>
    <row r="949" spans="2:2" ht="15.75" customHeight="1" x14ac:dyDescent="0.2">
      <c r="B949" s="17"/>
    </row>
    <row r="950" spans="2:2" ht="15.75" customHeight="1" x14ac:dyDescent="0.2">
      <c r="B950" s="17"/>
    </row>
    <row r="951" spans="2:2" ht="15.75" customHeight="1" x14ac:dyDescent="0.2">
      <c r="B951" s="17"/>
    </row>
    <row r="952" spans="2:2" ht="15.75" customHeight="1" x14ac:dyDescent="0.2">
      <c r="B952" s="17"/>
    </row>
    <row r="953" spans="2:2" ht="15.75" customHeight="1" x14ac:dyDescent="0.2">
      <c r="B953" s="17"/>
    </row>
    <row r="954" spans="2:2" ht="15.75" customHeight="1" x14ac:dyDescent="0.2">
      <c r="B954" s="17"/>
    </row>
    <row r="955" spans="2:2" ht="15.75" customHeight="1" x14ac:dyDescent="0.2">
      <c r="B955" s="17"/>
    </row>
    <row r="956" spans="2:2" ht="15.75" customHeight="1" x14ac:dyDescent="0.2">
      <c r="B956" s="17"/>
    </row>
    <row r="957" spans="2:2" ht="15.75" customHeight="1" x14ac:dyDescent="0.2">
      <c r="B957" s="17"/>
    </row>
    <row r="958" spans="2:2" ht="15.75" customHeight="1" x14ac:dyDescent="0.2">
      <c r="B958" s="17"/>
    </row>
    <row r="959" spans="2:2" ht="15.75" customHeight="1" x14ac:dyDescent="0.2">
      <c r="B959" s="17"/>
    </row>
    <row r="960" spans="2:2" ht="15.75" customHeight="1" x14ac:dyDescent="0.2">
      <c r="B960" s="17"/>
    </row>
    <row r="961" spans="2:2" ht="15.75" customHeight="1" x14ac:dyDescent="0.2">
      <c r="B961" s="17"/>
    </row>
    <row r="962" spans="2:2" ht="15.75" customHeight="1" x14ac:dyDescent="0.2">
      <c r="B962" s="17"/>
    </row>
    <row r="963" spans="2:2" ht="15.75" customHeight="1" x14ac:dyDescent="0.2">
      <c r="B963" s="17"/>
    </row>
    <row r="964" spans="2:2" ht="15.75" customHeight="1" x14ac:dyDescent="0.2">
      <c r="B964" s="17"/>
    </row>
    <row r="965" spans="2:2" ht="15.75" customHeight="1" x14ac:dyDescent="0.2">
      <c r="B965" s="17"/>
    </row>
    <row r="966" spans="2:2" ht="15.75" customHeight="1" x14ac:dyDescent="0.2">
      <c r="B966" s="17"/>
    </row>
    <row r="967" spans="2:2" ht="15.75" customHeight="1" x14ac:dyDescent="0.2">
      <c r="B967" s="17"/>
    </row>
    <row r="968" spans="2:2" ht="15.75" customHeight="1" x14ac:dyDescent="0.2">
      <c r="B968" s="17"/>
    </row>
    <row r="969" spans="2:2" ht="15.75" customHeight="1" x14ac:dyDescent="0.2">
      <c r="B969" s="17"/>
    </row>
    <row r="970" spans="2:2" ht="15.75" customHeight="1" x14ac:dyDescent="0.2">
      <c r="B970" s="17"/>
    </row>
    <row r="971" spans="2:2" ht="15.75" customHeight="1" x14ac:dyDescent="0.2">
      <c r="B971" s="17"/>
    </row>
    <row r="972" spans="2:2" ht="15.75" customHeight="1" x14ac:dyDescent="0.2">
      <c r="B972" s="17"/>
    </row>
    <row r="973" spans="2:2" ht="15.75" customHeight="1" x14ac:dyDescent="0.2">
      <c r="B973" s="17"/>
    </row>
    <row r="974" spans="2:2" ht="15.75" customHeight="1" x14ac:dyDescent="0.2">
      <c r="B974" s="17"/>
    </row>
    <row r="975" spans="2:2" ht="15.75" customHeight="1" x14ac:dyDescent="0.2">
      <c r="B975" s="17"/>
    </row>
    <row r="976" spans="2:2" ht="15.75" customHeight="1" x14ac:dyDescent="0.2">
      <c r="B976" s="17"/>
    </row>
    <row r="977" spans="2:2" ht="15.75" customHeight="1" x14ac:dyDescent="0.2">
      <c r="B977" s="17"/>
    </row>
    <row r="978" spans="2:2" ht="15.75" customHeight="1" x14ac:dyDescent="0.2">
      <c r="B978" s="17"/>
    </row>
    <row r="979" spans="2:2" ht="15.75" customHeight="1" x14ac:dyDescent="0.2">
      <c r="B979" s="17"/>
    </row>
    <row r="980" spans="2:2" ht="15.75" customHeight="1" x14ac:dyDescent="0.2">
      <c r="B980" s="17"/>
    </row>
    <row r="981" spans="2:2" ht="15.75" customHeight="1" x14ac:dyDescent="0.2">
      <c r="B981" s="17"/>
    </row>
    <row r="982" spans="2:2" ht="15.75" customHeight="1" x14ac:dyDescent="0.2">
      <c r="B982" s="17"/>
    </row>
    <row r="983" spans="2:2" ht="15.75" customHeight="1" x14ac:dyDescent="0.2">
      <c r="B983" s="17"/>
    </row>
    <row r="984" spans="2:2" ht="15.75" customHeight="1" x14ac:dyDescent="0.2">
      <c r="B984" s="17"/>
    </row>
    <row r="985" spans="2:2" ht="15.75" customHeight="1" x14ac:dyDescent="0.2">
      <c r="B985" s="17"/>
    </row>
    <row r="986" spans="2:2" ht="15.75" customHeight="1" x14ac:dyDescent="0.2">
      <c r="B986" s="17"/>
    </row>
    <row r="987" spans="2:2" ht="15.75" customHeight="1" x14ac:dyDescent="0.2">
      <c r="B987" s="17"/>
    </row>
    <row r="988" spans="2:2" ht="15.75" customHeight="1" x14ac:dyDescent="0.2">
      <c r="B988" s="17"/>
    </row>
    <row r="989" spans="2:2" ht="15.75" customHeight="1" x14ac:dyDescent="0.2">
      <c r="B989" s="17"/>
    </row>
    <row r="990" spans="2:2" ht="15.75" customHeight="1" x14ac:dyDescent="0.2">
      <c r="B990" s="17"/>
    </row>
    <row r="991" spans="2:2" ht="15.75" customHeight="1" x14ac:dyDescent="0.2">
      <c r="B991" s="17"/>
    </row>
  </sheetData>
  <mergeCells count="89">
    <mergeCell ref="C44:D44"/>
    <mergeCell ref="C45:D45"/>
    <mergeCell ref="C43:D43"/>
    <mergeCell ref="C42:D42"/>
    <mergeCell ref="B19:B20"/>
    <mergeCell ref="C19:D20"/>
    <mergeCell ref="C38:D38"/>
    <mergeCell ref="C41:D41"/>
    <mergeCell ref="B34:AB34"/>
    <mergeCell ref="C40:D40"/>
    <mergeCell ref="C31:D31"/>
    <mergeCell ref="B35:B36"/>
    <mergeCell ref="C35:D36"/>
    <mergeCell ref="E19:E20"/>
    <mergeCell ref="F19:I19"/>
    <mergeCell ref="C27:D27"/>
    <mergeCell ref="P13:S13"/>
    <mergeCell ref="G16:H16"/>
    <mergeCell ref="C21:D21"/>
    <mergeCell ref="C26:D26"/>
    <mergeCell ref="B18:AB18"/>
    <mergeCell ref="C11:D11"/>
    <mergeCell ref="E11:F11"/>
    <mergeCell ref="G11:H11"/>
    <mergeCell ref="E16:F16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47:D47"/>
    <mergeCell ref="E7:F7"/>
    <mergeCell ref="E9:F9"/>
    <mergeCell ref="C37:D37"/>
    <mergeCell ref="C39:D39"/>
    <mergeCell ref="C22:D22"/>
    <mergeCell ref="C23:D23"/>
    <mergeCell ref="C24:D24"/>
    <mergeCell ref="C16:D16"/>
    <mergeCell ref="C25:D25"/>
    <mergeCell ref="C46:D46"/>
    <mergeCell ref="E35:E36"/>
    <mergeCell ref="F35:I35"/>
    <mergeCell ref="C28:D28"/>
    <mergeCell ref="C30:D30"/>
    <mergeCell ref="C9:D9"/>
    <mergeCell ref="P11:S11"/>
    <mergeCell ref="C10:D10"/>
    <mergeCell ref="E10:F10"/>
    <mergeCell ref="G10:H10"/>
    <mergeCell ref="A1:L1"/>
    <mergeCell ref="C2:D2"/>
    <mergeCell ref="G9:H9"/>
    <mergeCell ref="A3:A4"/>
    <mergeCell ref="B3:B4"/>
    <mergeCell ref="C3:D4"/>
    <mergeCell ref="E3:F4"/>
    <mergeCell ref="G3:H4"/>
    <mergeCell ref="E2:L2"/>
    <mergeCell ref="L3:L4"/>
    <mergeCell ref="P3:U3"/>
    <mergeCell ref="P5:S5"/>
    <mergeCell ref="G8:H8"/>
    <mergeCell ref="W3:Y3"/>
    <mergeCell ref="P4:S4"/>
    <mergeCell ref="I3:I4"/>
    <mergeCell ref="J3:J4"/>
    <mergeCell ref="K3:K4"/>
    <mergeCell ref="M3:M4"/>
    <mergeCell ref="P12:S12"/>
    <mergeCell ref="P10:S10"/>
    <mergeCell ref="P9:S9"/>
    <mergeCell ref="C5:D5"/>
    <mergeCell ref="E5:F5"/>
    <mergeCell ref="G5:H5"/>
    <mergeCell ref="C6:D6"/>
    <mergeCell ref="E6:F6"/>
    <mergeCell ref="G6:H6"/>
    <mergeCell ref="P8:U8"/>
    <mergeCell ref="P6:S6"/>
    <mergeCell ref="P7:S7"/>
    <mergeCell ref="C7:D7"/>
    <mergeCell ref="G7:H7"/>
    <mergeCell ref="C8:D8"/>
    <mergeCell ref="E8:F8"/>
  </mergeCells>
  <conditionalFormatting sqref="J21:Z29 J30 Y30:Z30">
    <cfRule type="cellIs" dxfId="1" priority="8" operator="equal">
      <formula>"L"</formula>
    </cfRule>
  </conditionalFormatting>
  <conditionalFormatting sqref="J37:AB46">
    <cfRule type="cellIs" dxfId="0" priority="1" operator="equal">
      <formula>"L"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G1:G1000"/>
  <sheetViews>
    <sheetView workbookViewId="0"/>
  </sheetViews>
  <sheetFormatPr baseColWidth="10" defaultColWidth="14.3984375" defaultRowHeight="15" customHeight="1" x14ac:dyDescent="0.2"/>
  <cols>
    <col min="1" max="7" width="8.796875" customWidth="1"/>
  </cols>
  <sheetData>
    <row r="1" spans="7:7" ht="12.75" customHeight="1" x14ac:dyDescent="0.2"/>
    <row r="2" spans="7:7" ht="12.75" customHeight="1" x14ac:dyDescent="0.2"/>
    <row r="3" spans="7:7" ht="12.75" customHeight="1" x14ac:dyDescent="0.2"/>
    <row r="4" spans="7:7" ht="12.75" customHeight="1" x14ac:dyDescent="0.2"/>
    <row r="5" spans="7:7" ht="12.75" customHeight="1" x14ac:dyDescent="0.2"/>
    <row r="6" spans="7:7" ht="12.75" customHeight="1" x14ac:dyDescent="0.2">
      <c r="G6" s="26">
        <f>168/2</f>
        <v>84</v>
      </c>
    </row>
    <row r="7" spans="7:7" ht="12.75" customHeight="1" x14ac:dyDescent="0.2"/>
    <row r="8" spans="7:7" ht="12.75" customHeight="1" x14ac:dyDescent="0.2"/>
    <row r="9" spans="7:7" ht="12.75" customHeight="1" x14ac:dyDescent="0.2"/>
    <row r="10" spans="7:7" ht="12.75" customHeight="1" x14ac:dyDescent="0.2"/>
    <row r="11" spans="7:7" ht="12.75" customHeight="1" x14ac:dyDescent="0.2"/>
    <row r="12" spans="7:7" ht="12.75" customHeight="1" x14ac:dyDescent="0.2"/>
    <row r="13" spans="7:7" ht="12.75" customHeight="1" x14ac:dyDescent="0.2"/>
    <row r="14" spans="7:7" ht="12.75" customHeight="1" x14ac:dyDescent="0.2"/>
    <row r="15" spans="7:7" ht="12.75" customHeight="1" x14ac:dyDescent="0.2"/>
    <row r="16" spans="7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 March-2026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2025-07-30T03:47:44Z</dcterms:created>
  <dcterms:modified xsi:type="dcterms:W3CDTF">2026-04-14T08:37:44Z</dcterms:modified>
  <cp:category/>
  <cp:contentStatus/>
</cp:coreProperties>
</file>