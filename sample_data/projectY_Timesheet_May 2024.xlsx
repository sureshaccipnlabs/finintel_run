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2B65F486-2DDF-48DB-A99C-688A6DF4E883}" xr6:coauthVersionLast="47" xr6:coauthVersionMax="47" xr10:uidLastSave="{00000000-0000-0000-0000-000000000000}"/>
  <bookViews>
    <workbookView xWindow="2120" yWindow="2120" windowWidth="14400" windowHeight="817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<sst xmlns="http://schemas.openxmlformats.org/spreadsheetml/2006/main" count="333" uniqueCount="135">
  <si>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</si>
  <si>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</si>
  <si>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</si>
  <si>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</si>
  <si>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</si>
  <si>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</si>
  <si>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</si>
  <si>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</si>
  <si>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</si>
  <si>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</si>
  <si>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</si>
  <si>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</si>
  <si>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</si>
  <si>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</si>
  <si>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</si>
  <si>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</si>
  <si>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</si>
  <si>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</si>
  <si>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</si>
  <si>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</si>
  <si>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</si>
  <si>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</si>
  <si>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</si>
  <si>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</si>
  <si>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</si>
  <si>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</si>
  <si>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</si>
  <si>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</si>
  <si>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</si>
  <si>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</si>
  <si>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</si>
  <si>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</si>
  <si>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</si>
  <si>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</si>
  <si>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</si>
  <si>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</si>
  <si>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</si>
  <si>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</si>
  <si>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</si>
  <si>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</si>
  <si>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</si>
  <si>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</si>
  <si>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</si>
  <si>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</si>
  <si>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</si>
  <si>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</si>
  <si>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</si>
  <si>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</si>
  <si>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</si>
  <si>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</si>
  <si>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</si>
  <si>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</si>
  <si>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</si>
  <si>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</si>
  <si>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</si>
  <si>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</si>
  <si>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</si>
  <si>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</si>
  <si>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</si>
  <si>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</si>
  <si>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</si>
  <si>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</si>
  <si>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</si>
  <si>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</si>
  <si>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</si>
  <si>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</si>
  <si>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</si>
  <si>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</si>
  <si>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</si>
  <si>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</si>
  <si>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</si>
  <si>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</si>
  <si>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</si>
  <si>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</si>
  <si>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</si>
  <si>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</si>
  <si>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</si>
  <si>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</si>
  <si>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</si>
  <si>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</si>
  <si>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</si>
  <si>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</si>
  <si>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</si>
  <si>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</si>
  <si>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</si>
  <si>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</si>
  <si>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</si>
  <si>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</si>
  <si>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</si>
  <si>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</si>
  <si>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</si>
  <si>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</si>
  <si>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</si>
  <si>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</si>
  <si>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</si>
  <si>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</si>
  <si>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</si>
  <si>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</si>
  <si>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</si>
  <si>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</si>
  <si>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</si>
  <si>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</si>
  <si>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</si>
  <si>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</si>
  <si>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</si>
  <si>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</si>
  <si>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</si>
  <si>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</si>
  <si>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</si>
  <si>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</si>
  <si>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</si>
  <si>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</si>
  <si>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</si>
  <si>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</si>
  <si>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</si>
  <si>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</si>
  <si>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</si>
  <si>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</si>
  <si>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</si>
  <si>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</si>
  <si>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</si>
  <si>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</si>
  <si>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</si>
  <si>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</si>
  <si>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</si>
  <si>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</si>
  <si>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</si>
  <si>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</si>
  <si>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</si>
  <si>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</si>
  <si>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</si>
  <si>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</si>
  <si>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</si>
  <si>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0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</si>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</sst>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Label="0" dataDxfId="38" totalsRowDxfId="37"/>
    <tableColumn id="24" xr3:uid="{748261B7-3B42-48B0-B56D-6066930E4F45}" name="19" totalsRowLabel="0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dataDxfId="12" totalsRowDxfId="11"/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G7" sqref="G7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12</v>
      </c>
      <c r="C2" s="5">
        <v>2024</v>
      </c>
      <c r="E2" s="5" t="s">
        <v>134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WED</v>
      </c>
      <c r="M4" s="8" t="str">
        <f>UPPER(TEXT(DATE($C$2,_xlfn.XLOOKUP($B$2,Data!$B$2:$B$13,Data!$C$2:$C$13),Table27[[#Headers],[2]]),"DDD"))</f>
        <v>THU</v>
      </c>
      <c r="N4" s="8" t="str">
        <f>UPPER(TEXT(DATE($C$2,_xlfn.XLOOKUP($B$2,Data!$B$2:$B$13,Data!$C$2:$C$13),Table27[[#Headers],[3]]),"DDD"))</f>
        <v>FRI</v>
      </c>
      <c r="O4" s="8" t="str">
        <f>UPPER(TEXT(DATE($C$2,_xlfn.XLOOKUP($B$2,Data!$B$2:$B$13,Data!$C$2:$C$13),Table27[[#Headers],[4]]),"DDD"))</f>
        <v>SAT</v>
      </c>
      <c r="P4" s="8" t="str">
        <f>UPPER(TEXT(DATE($C$2,_xlfn.XLOOKUP($B$2,Data!$B$2:$B$13,Data!$C$2:$C$13),Table27[[#Headers],[5]]),"DDD"))</f>
        <v>SUN</v>
      </c>
      <c r="Q4" s="8" t="str">
        <f>UPPER(TEXT(DATE($C$2,_xlfn.XLOOKUP($B$2,Data!$B$2:$B$13,Data!$C$2:$C$13),Table27[[#Headers],[6]]),"DDD"))</f>
        <v>MON</v>
      </c>
      <c r="R4" s="8" t="str">
        <f>UPPER(TEXT(DATE($C$2,_xlfn.XLOOKUP($B$2,Data!$B$2:$B$13,Data!$C$2:$C$13),Table27[[#Headers],[7]]),"DDD"))</f>
        <v>TUE</v>
      </c>
      <c r="S4" s="8" t="str">
        <f>UPPER(TEXT(DATE($C$2,_xlfn.XLOOKUP($B$2,Data!$B$2:$B$13,Data!$C$2:$C$13),Table27[[#Headers],[8]]),"DDD"))</f>
        <v>WED</v>
      </c>
      <c r="T4" s="8" t="str">
        <f>UPPER(TEXT(DATE($C$2,_xlfn.XLOOKUP($B$2,Data!$B$2:$B$13,Data!$C$2:$C$13),Table27[[#Headers],[9]]),"DDD"))</f>
        <v>THU</v>
      </c>
      <c r="U4" s="8" t="str">
        <f>UPPER(TEXT(DATE($C$2,_xlfn.XLOOKUP($B$2,Data!$B$2:$B$13,Data!$C$2:$C$13),Table27[[#Headers],[10]]),"DDD"))</f>
        <v>FRI</v>
      </c>
      <c r="V4" s="8" t="str">
        <f>UPPER(TEXT(DATE($C$2,_xlfn.XLOOKUP($B$2,Data!$B$2:$B$13,Data!$C$2:$C$13),Table27[[#Headers],[11]]),"DDD"))</f>
        <v>SAT</v>
      </c>
      <c r="W4" s="8" t="str">
        <f>UPPER(TEXT(DATE($C$2,_xlfn.XLOOKUP($B$2,Data!$B$2:$B$13,Data!$C$2:$C$13),Table27[[#Headers],[12]]),"DDD"))</f>
        <v>SUN</v>
      </c>
      <c r="X4" s="8" t="str">
        <f>UPPER(TEXT(DATE($C$2,_xlfn.XLOOKUP($B$2,Data!$B$2:$B$13,Data!$C$2:$C$13),Table27[[#Headers],[13]]),"DDD"))</f>
        <v>MON</v>
      </c>
      <c r="Y4" s="8" t="str">
        <f>UPPER(TEXT(DATE($C$2,_xlfn.XLOOKUP($B$2,Data!$B$2:$B$13,Data!$C$2:$C$13),Table27[[#Headers],[14]]),"DDD"))</f>
        <v>TUE</v>
      </c>
      <c r="Z4" s="8" t="str">
        <f>UPPER(TEXT(DATE($C$2,_xlfn.XLOOKUP($B$2,Data!$B$2:$B$13,Data!$C$2:$C$13),Table27[[#Headers],[15]]),"DDD"))</f>
        <v>WED</v>
      </c>
      <c r="AA4" s="8" t="str">
        <f>UPPER(TEXT(DATE($C$2,_xlfn.XLOOKUP($B$2,Data!$B$2:$B$13,Data!$C$2:$C$13),Table27[[#Headers],[16]]),"DDD"))</f>
        <v>THU</v>
      </c>
      <c r="AB4" s="8" t="str">
        <f>UPPER(TEXT(DATE($C$2,_xlfn.XLOOKUP($B$2,Data!$B$2:$B$13,Data!$C$2:$C$13),Table27[[#Headers],[17]]),"DDD"))</f>
        <v>FRI</v>
      </c>
      <c r="AC4" s="8" t="str">
        <f>UPPER(TEXT(DATE($C$2,_xlfn.XLOOKUP($B$2,Data!$B$2:$B$13,Data!$C$2:$C$13),Table27[[#Headers],[18]]),"DDD"))</f>
        <v>SAT</v>
      </c>
      <c r="AD4" s="8" t="str">
        <f>UPPER(TEXT(DATE($C$2,_xlfn.XLOOKUP($B$2,Data!$B$2:$B$13,Data!$C$2:$C$13),Table27[[#Headers],[19]]),"DDD"))</f>
        <v>SUN</v>
      </c>
      <c r="AE4" s="8" t="str">
        <f>UPPER(TEXT(DATE($C$2,_xlfn.XLOOKUP($B$2,Data!$B$2:$B$13,Data!$C$2:$C$13),Table27[[#Headers],[20]]),"DDD"))</f>
        <v>MON</v>
      </c>
      <c r="AF4" s="8" t="str">
        <f>UPPER(TEXT(DATE($C$2,_xlfn.XLOOKUP($B$2,Data!$B$2:$B$13,Data!$C$2:$C$13),Table27[[#Headers],[21]]),"DDD"))</f>
        <v>TUE</v>
      </c>
      <c r="AG4" s="8" t="str">
        <f>UPPER(TEXT(DATE($C$2,_xlfn.XLOOKUP($B$2,Data!$B$2:$B$13,Data!$C$2:$C$13),Table27[[#Headers],[22]]),"DDD"))</f>
        <v>WED</v>
      </c>
      <c r="AH4" s="8" t="str">
        <f>UPPER(TEXT(DATE($C$2,_xlfn.XLOOKUP($B$2,Data!$B$2:$B$13,Data!$C$2:$C$13),Table27[[#Headers],[23]]),"DDD"))</f>
        <v>THU</v>
      </c>
      <c r="AI4" s="8" t="str">
        <f>UPPER(TEXT(DATE($C$2,_xlfn.XLOOKUP($B$2,Data!$B$2:$B$13,Data!$C$2:$C$13),Table27[[#Headers],[24]]),"DDD"))</f>
        <v>FRI</v>
      </c>
      <c r="AJ4" s="8" t="str">
        <f>UPPER(TEXT(DATE($C$2,_xlfn.XLOOKUP($B$2,Data!$B$2:$B$13,Data!$C$2:$C$13),Table27[[#Headers],[25]]),"DDD"))</f>
        <v>SAT</v>
      </c>
      <c r="AK4" s="8" t="str">
        <f>UPPER(TEXT(DATE($C$2,_xlfn.XLOOKUP($B$2,Data!$B$2:$B$13,Data!$C$2:$C$13),Table27[[#Headers],[26]]),"DDD"))</f>
        <v>SUN</v>
      </c>
      <c r="AL4" s="8" t="str">
        <f>UPPER(TEXT(DATE($C$2,_xlfn.XLOOKUP($B$2,Data!$B$2:$B$13,Data!$C$2:$C$13),Table27[[#Headers],[27]]),"DDD"))</f>
        <v>MON</v>
      </c>
      <c r="AM4" s="8" t="str">
        <f>UPPER(TEXT(DATE($C$2,_xlfn.XLOOKUP($B$2,Data!$B$2:$B$13,Data!$C$2:$C$13),Table27[[#Headers],[28]]),"DDD"))</f>
        <v>TUE</v>
      </c>
      <c r="AN4" s="8" t="str">
        <f>UPPER(TEXT(DATE($C$2,_xlfn.XLOOKUP($B$2,Data!$B$2:$B$13,Data!$C$2:$C$13),Table27[[#Headers],[29]]),"DDD"))</f>
        <v>WED</v>
      </c>
      <c r="AO4" s="8" t="str">
        <f>UPPER(TEXT(DATE($C$2,_xlfn.XLOOKUP($B$2,Data!$B$2:$B$13,Data!$C$2:$C$13),Table27[[#Headers],[30]]),"DDD"))</f>
        <v>THU</v>
      </c>
      <c r="AP4" s="8" t="str">
        <f>UPPER(TEXT(DATE($C$2,_xlfn.XLOOKUP($B$2,Data!$B$2:$B$13,Data!$C$2:$C$13),Table27[[#Headers],[24]]),"DDD"))</f>
        <v>FRI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51232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192</v>
      </c>
      <c r="I6" s="2">
        <f>IF(Table27[[#This Row],[Status]]="Active",SUM(Table27[[#This Row],[1]:[31]]),"")</f>
        <v>192</v>
      </c>
      <c r="J6" s="3">
        <v>30</v>
      </c>
      <c r="K6" s="14">
        <f>IFERROR(Table27[[#This Row],[Actual Hours]]*Table27[[#This Row],[Rate]],"")</f>
        <v>5760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6" t="s">
        <v>59</v>
      </c>
      <c r="Z6" s="26">
        <v>8</v>
      </c>
      <c r="AA6" s="7">
        <v>8</v>
      </c>
      <c r="AB6" s="7">
        <v>8</v>
      </c>
      <c r="AC6" s="7">
        <v>8</v>
      </c>
      <c r="AD6" s="7">
        <v>8</v>
      </c>
      <c r="AE6" s="7">
        <v>8</v>
      </c>
      <c r="AF6" s="26">
        <v>8</v>
      </c>
      <c r="AG6" s="26">
        <v>8</v>
      </c>
      <c r="AH6" s="7">
        <v>8</v>
      </c>
      <c r="AI6" s="7">
        <v>8</v>
      </c>
      <c r="AJ6" s="7" t="s">
        <v>59</v>
      </c>
      <c r="AK6" s="7" t="s">
        <v>59</v>
      </c>
      <c r="AL6" s="7" t="s">
        <v>86</v>
      </c>
      <c r="AM6" s="26">
        <v>8</v>
      </c>
      <c r="AN6" s="26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 t="s">
        <v>59</v>
      </c>
      <c r="P7" s="25" t="s">
        <v>59</v>
      </c>
      <c r="Q7" s="7">
        <v>8</v>
      </c>
      <c r="R7" s="7">
        <v>8</v>
      </c>
      <c r="S7" s="7">
        <v>8</v>
      </c>
      <c r="T7" s="7">
        <v>8</v>
      </c>
      <c r="U7" s="7">
        <v>8</v>
      </c>
      <c r="V7" s="7" t="s">
        <v>59</v>
      </c>
      <c r="W7" s="7" t="s">
        <v>59</v>
      </c>
      <c r="X7" s="7">
        <v>8</v>
      </c>
      <c r="Y7" s="26">
        <v>8</v>
      </c>
      <c r="Z7" s="26">
        <v>8</v>
      </c>
      <c r="AA7" s="7">
        <v>8</v>
      </c>
      <c r="AB7" s="7">
        <v>8</v>
      </c>
      <c r="AC7" s="7" t="s">
        <v>59</v>
      </c>
      <c r="AD7" s="7" t="s">
        <v>59</v>
      </c>
      <c r="AE7" s="7">
        <v>8</v>
      </c>
      <c r="AF7" s="26">
        <v>8</v>
      </c>
      <c r="AG7" s="26">
        <v>8</v>
      </c>
      <c r="AH7" s="7">
        <v>8</v>
      </c>
      <c r="AI7" s="7">
        <v>8</v>
      </c>
      <c r="AJ7" s="7" t="s">
        <v>59</v>
      </c>
      <c r="AK7" s="7" t="s">
        <v>59</v>
      </c>
      <c r="AL7" s="7" t="s">
        <v>86</v>
      </c>
      <c r="AM7" s="26">
        <v>8</v>
      </c>
      <c r="AN7" s="26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 t="s">
        <v>59</v>
      </c>
      <c r="P8" s="25" t="s">
        <v>59</v>
      </c>
      <c r="Q8" s="7">
        <v>8</v>
      </c>
      <c r="R8" s="7">
        <v>8</v>
      </c>
      <c r="S8" s="7">
        <v>8</v>
      </c>
      <c r="T8" s="7">
        <v>8</v>
      </c>
      <c r="U8" s="7">
        <v>8</v>
      </c>
      <c r="V8" s="7" t="s">
        <v>59</v>
      </c>
      <c r="W8" s="7" t="s">
        <v>59</v>
      </c>
      <c r="X8" s="7">
        <v>8</v>
      </c>
      <c r="Y8" s="26">
        <v>8</v>
      </c>
      <c r="Z8" s="26">
        <v>8</v>
      </c>
      <c r="AA8" s="7">
        <v>8</v>
      </c>
      <c r="AB8" s="7">
        <v>8</v>
      </c>
      <c r="AC8" s="7" t="s">
        <v>59</v>
      </c>
      <c r="AD8" s="7" t="s">
        <v>59</v>
      </c>
      <c r="AE8" s="7">
        <v>8</v>
      </c>
      <c r="AF8" s="26">
        <v>8</v>
      </c>
      <c r="AG8" s="26">
        <v>8</v>
      </c>
      <c r="AH8" s="7">
        <v>8</v>
      </c>
      <c r="AI8" s="7">
        <v>8</v>
      </c>
      <c r="AJ8" s="7" t="s">
        <v>59</v>
      </c>
      <c r="AK8" s="7" t="s">
        <v>59</v>
      </c>
      <c r="AL8" s="7" t="s">
        <v>86</v>
      </c>
      <c r="AM8" s="26">
        <v>8</v>
      </c>
      <c r="AN8" s="26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1776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 t="s">
        <v>59</v>
      </c>
      <c r="P9" s="25" t="s">
        <v>59</v>
      </c>
      <c r="Q9" s="7">
        <v>8</v>
      </c>
      <c r="R9" s="7">
        <v>8</v>
      </c>
      <c r="S9" s="7">
        <v>8</v>
      </c>
      <c r="T9" s="7">
        <v>8</v>
      </c>
      <c r="U9" s="7">
        <v>8</v>
      </c>
      <c r="V9" s="7" t="s">
        <v>59</v>
      </c>
      <c r="W9" s="7" t="s">
        <v>59</v>
      </c>
      <c r="X9" s="7">
        <v>8</v>
      </c>
      <c r="Y9" s="26">
        <v>8</v>
      </c>
      <c r="Z9" s="26">
        <v>8</v>
      </c>
      <c r="AA9" s="7">
        <v>8</v>
      </c>
      <c r="AB9" s="7" t="s">
        <v>67</v>
      </c>
      <c r="AC9" s="7" t="s">
        <v>59</v>
      </c>
      <c r="AD9" s="7" t="s">
        <v>59</v>
      </c>
      <c r="AE9" s="7">
        <v>8</v>
      </c>
      <c r="AF9" s="26">
        <v>8</v>
      </c>
      <c r="AG9" s="26">
        <v>8</v>
      </c>
      <c r="AH9" s="7">
        <v>8</v>
      </c>
      <c r="AI9" s="7">
        <v>8</v>
      </c>
      <c r="AJ9" s="7" t="s">
        <v>59</v>
      </c>
      <c r="AK9" s="7" t="s">
        <v>59</v>
      </c>
      <c r="AL9" s="7" t="s">
        <v>86</v>
      </c>
      <c r="AM9" s="26">
        <v>8</v>
      </c>
      <c r="AN9" s="26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 t="s">
        <v>59</v>
      </c>
      <c r="P10" s="25" t="s">
        <v>59</v>
      </c>
      <c r="Q10" s="7">
        <v>8</v>
      </c>
      <c r="R10" s="7">
        <v>8</v>
      </c>
      <c r="S10" s="7">
        <v>8</v>
      </c>
      <c r="T10" s="7" t="s">
        <v>67</v>
      </c>
      <c r="U10" s="7">
        <v>8</v>
      </c>
      <c r="V10" s="7" t="s">
        <v>59</v>
      </c>
      <c r="W10" s="7" t="s">
        <v>59</v>
      </c>
      <c r="X10" s="7" t="s">
        <v>67</v>
      </c>
      <c r="Y10" s="26" t="s">
        <v>67</v>
      </c>
      <c r="Z10" s="26">
        <v>8</v>
      </c>
      <c r="AA10" s="7">
        <v>8</v>
      </c>
      <c r="AB10" s="7" t="s">
        <v>67</v>
      </c>
      <c r="AC10" s="7" t="s">
        <v>59</v>
      </c>
      <c r="AD10" s="7" t="s">
        <v>59</v>
      </c>
      <c r="AE10" s="7">
        <v>8</v>
      </c>
      <c r="AF10" s="26">
        <v>8</v>
      </c>
      <c r="AG10" s="26">
        <v>8</v>
      </c>
      <c r="AH10" s="7">
        <v>8</v>
      </c>
      <c r="AI10" s="7">
        <v>8</v>
      </c>
      <c r="AJ10" s="7" t="s">
        <v>59</v>
      </c>
      <c r="AK10" s="7" t="s">
        <v>59</v>
      </c>
      <c r="AL10" s="7" t="s">
        <v>86</v>
      </c>
      <c r="AM10" s="26">
        <v>8</v>
      </c>
      <c r="AN10" s="26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160</v>
      </c>
      <c r="J11" s="3">
        <v>30</v>
      </c>
      <c r="K11" s="14">
        <f>IFERROR(Table27[[#This Row],[Actual Hours]]*Table27[[#This Row],[Rate]],"")</f>
        <v>4800</v>
      </c>
      <c r="L11" s="7">
        <v>8</v>
      </c>
      <c r="M11" s="7">
        <v>8</v>
      </c>
      <c r="N11" s="7">
        <v>8</v>
      </c>
      <c r="O11" s="7" t="s">
        <v>59</v>
      </c>
      <c r="P11" s="25" t="s">
        <v>59</v>
      </c>
      <c r="Q11" s="7">
        <v>8</v>
      </c>
      <c r="R11" s="7">
        <v>8</v>
      </c>
      <c r="S11" s="7">
        <v>8</v>
      </c>
      <c r="T11" s="7">
        <v>8</v>
      </c>
      <c r="U11" s="7">
        <v>8</v>
      </c>
      <c r="V11" s="7" t="s">
        <v>59</v>
      </c>
      <c r="W11" s="7" t="s">
        <v>59</v>
      </c>
      <c r="X11" s="7">
        <v>8</v>
      </c>
      <c r="Y11" s="26">
        <v>8</v>
      </c>
      <c r="Z11" s="26">
        <v>8</v>
      </c>
      <c r="AA11" s="7">
        <v>8</v>
      </c>
      <c r="AB11" s="7">
        <v>8</v>
      </c>
      <c r="AC11" s="7" t="s">
        <v>59</v>
      </c>
      <c r="AD11" s="7" t="s">
        <v>59</v>
      </c>
      <c r="AE11" s="7">
        <v>8</v>
      </c>
      <c r="AF11" s="26">
        <v>8</v>
      </c>
      <c r="AG11" s="26">
        <v>8</v>
      </c>
      <c r="AH11" s="7">
        <v>8</v>
      </c>
      <c r="AI11" s="7" t="s">
        <v>67</v>
      </c>
      <c r="AJ11" s="7" t="s">
        <v>59</v>
      </c>
      <c r="AK11" s="7" t="s">
        <v>59</v>
      </c>
      <c r="AL11" s="7" t="s">
        <v>86</v>
      </c>
      <c r="AM11" s="26">
        <v>8</v>
      </c>
      <c r="AN11" s="26">
        <v>8</v>
      </c>
      <c r="AO11" s="7">
        <v>8</v>
      </c>
      <c r="AP11" s="7" t="s">
        <v>67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0.90909090909090906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2" s="2">
        <f>IF(Table27[[#This Row],[Status]]="Active",SUM(Table27[[#This Row],[1]:[31]]),"")</f>
        <v>168</v>
      </c>
      <c r="J12" s="3">
        <v>28</v>
      </c>
      <c r="K12" s="14">
        <f>IFERROR(Table27[[#This Row],[Actual Hours]]*Table27[[#This Row],[Rate]],"")</f>
        <v>4704</v>
      </c>
      <c r="L12" s="7">
        <v>8</v>
      </c>
      <c r="M12" s="7">
        <v>8</v>
      </c>
      <c r="N12" s="7">
        <v>8</v>
      </c>
      <c r="O12" s="7" t="s">
        <v>59</v>
      </c>
      <c r="P12" s="25" t="s">
        <v>59</v>
      </c>
      <c r="Q12" s="7" t="s">
        <v>67</v>
      </c>
      <c r="R12" s="7">
        <v>8</v>
      </c>
      <c r="S12" s="7">
        <v>8</v>
      </c>
      <c r="T12" s="7">
        <v>8</v>
      </c>
      <c r="U12" s="7">
        <v>8</v>
      </c>
      <c r="V12" s="7" t="s">
        <v>59</v>
      </c>
      <c r="W12" s="7" t="s">
        <v>59</v>
      </c>
      <c r="X12" s="7">
        <v>8</v>
      </c>
      <c r="Y12" s="26">
        <v>8</v>
      </c>
      <c r="Z12" s="26">
        <v>8</v>
      </c>
      <c r="AA12" s="7">
        <v>8</v>
      </c>
      <c r="AB12" s="7">
        <v>8</v>
      </c>
      <c r="AC12" s="7" t="s">
        <v>59</v>
      </c>
      <c r="AD12" s="7" t="s">
        <v>59</v>
      </c>
      <c r="AE12" s="7">
        <v>8</v>
      </c>
      <c r="AF12" s="26">
        <v>8</v>
      </c>
      <c r="AG12" s="26">
        <v>8</v>
      </c>
      <c r="AH12" s="7">
        <v>8</v>
      </c>
      <c r="AI12" s="7">
        <v>8</v>
      </c>
      <c r="AJ12" s="7" t="s">
        <v>59</v>
      </c>
      <c r="AK12" s="7" t="s">
        <v>59</v>
      </c>
      <c r="AL12" s="7" t="s">
        <v>86</v>
      </c>
      <c r="AM12" s="26">
        <v>8</v>
      </c>
      <c r="AN12" s="26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0.95454545454545459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 t="s">
        <v>59</v>
      </c>
      <c r="P13" s="25" t="s">
        <v>59</v>
      </c>
      <c r="Q13" s="7">
        <v>8</v>
      </c>
      <c r="R13" s="7">
        <v>8</v>
      </c>
      <c r="S13" s="7">
        <v>8</v>
      </c>
      <c r="T13" s="7">
        <v>8</v>
      </c>
      <c r="U13" s="7">
        <v>8</v>
      </c>
      <c r="V13" s="7" t="s">
        <v>59</v>
      </c>
      <c r="W13" s="7" t="s">
        <v>59</v>
      </c>
      <c r="X13" s="7">
        <v>8</v>
      </c>
      <c r="Y13" s="26">
        <v>8</v>
      </c>
      <c r="Z13" s="26" t="s">
        <v>67</v>
      </c>
      <c r="AA13" s="7">
        <v>8</v>
      </c>
      <c r="AB13" s="7">
        <v>8</v>
      </c>
      <c r="AC13" s="7" t="s">
        <v>59</v>
      </c>
      <c r="AD13" s="7" t="s">
        <v>59</v>
      </c>
      <c r="AE13" s="7">
        <v>8</v>
      </c>
      <c r="AF13" s="26" t="s">
        <v>67</v>
      </c>
      <c r="AG13" s="26">
        <v>8</v>
      </c>
      <c r="AH13" s="7">
        <v>8</v>
      </c>
      <c r="AI13" s="7">
        <v>8</v>
      </c>
      <c r="AJ13" s="7" t="s">
        <v>59</v>
      </c>
      <c r="AK13" s="7" t="s">
        <v>59</v>
      </c>
      <c r="AL13" s="7" t="s">
        <v>86</v>
      </c>
      <c r="AM13" s="26">
        <v>8</v>
      </c>
      <c r="AN13" s="26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0.90909090909090906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 t="s">
        <v>59</v>
      </c>
      <c r="P14" s="25" t="s">
        <v>59</v>
      </c>
      <c r="Q14" s="7">
        <v>8</v>
      </c>
      <c r="R14" s="7">
        <v>8</v>
      </c>
      <c r="S14" s="7">
        <v>8</v>
      </c>
      <c r="T14" s="7">
        <v>8</v>
      </c>
      <c r="U14" s="7">
        <v>8</v>
      </c>
      <c r="V14" s="7" t="s">
        <v>59</v>
      </c>
      <c r="W14" s="7" t="s">
        <v>59</v>
      </c>
      <c r="X14" s="7">
        <v>8</v>
      </c>
      <c r="Y14" s="26">
        <v>8</v>
      </c>
      <c r="Z14" s="26">
        <v>8</v>
      </c>
      <c r="AA14" s="7">
        <v>8</v>
      </c>
      <c r="AB14" s="7">
        <v>8</v>
      </c>
      <c r="AC14" s="7" t="s">
        <v>59</v>
      </c>
      <c r="AD14" s="7" t="s">
        <v>59</v>
      </c>
      <c r="AE14" s="7">
        <v>8</v>
      </c>
      <c r="AF14" s="26">
        <v>8</v>
      </c>
      <c r="AG14" s="26">
        <v>8</v>
      </c>
      <c r="AH14" s="7">
        <v>8</v>
      </c>
      <c r="AI14" s="7">
        <v>8</v>
      </c>
      <c r="AJ14" s="7" t="s">
        <v>59</v>
      </c>
      <c r="AK14" s="7" t="s">
        <v>59</v>
      </c>
      <c r="AL14" s="7" t="s">
        <v>86</v>
      </c>
      <c r="AM14" s="26">
        <v>8</v>
      </c>
      <c r="AN14" s="26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>
        <v>8</v>
      </c>
      <c r="M15" s="7">
        <v>8</v>
      </c>
      <c r="N15" s="7">
        <v>8</v>
      </c>
      <c r="O15" s="7" t="s">
        <v>59</v>
      </c>
      <c r="P15" s="25" t="s">
        <v>59</v>
      </c>
      <c r="Q15" s="7">
        <v>8</v>
      </c>
      <c r="R15" s="7">
        <v>8</v>
      </c>
      <c r="S15" s="7">
        <v>8</v>
      </c>
      <c r="T15" s="7">
        <v>8</v>
      </c>
      <c r="U15" s="7">
        <v>8</v>
      </c>
      <c r="V15" s="7" t="s">
        <v>59</v>
      </c>
      <c r="W15" s="7" t="s">
        <v>59</v>
      </c>
      <c r="X15" s="7">
        <v>8</v>
      </c>
      <c r="Y15" s="26">
        <v>8</v>
      </c>
      <c r="Z15" s="26">
        <v>8</v>
      </c>
      <c r="AA15" s="7" t="s">
        <v>67</v>
      </c>
      <c r="AB15" s="7">
        <v>8</v>
      </c>
      <c r="AC15" s="7" t="s">
        <v>59</v>
      </c>
      <c r="AD15" s="7" t="s">
        <v>59</v>
      </c>
      <c r="AE15" s="7">
        <v>8</v>
      </c>
      <c r="AF15" s="26">
        <v>8</v>
      </c>
      <c r="AG15" s="26">
        <v>8</v>
      </c>
      <c r="AH15" s="7">
        <v>8</v>
      </c>
      <c r="AI15" s="7">
        <v>8</v>
      </c>
      <c r="AJ15" s="7" t="s">
        <v>59</v>
      </c>
      <c r="AK15" s="7" t="s">
        <v>59</v>
      </c>
      <c r="AL15" s="7" t="s">
        <v>86</v>
      </c>
      <c r="AM15" s="26">
        <v>8</v>
      </c>
      <c r="AN15" s="26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0.95454545454545459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168</v>
      </c>
      <c r="J16" s="3">
        <v>28</v>
      </c>
      <c r="K16" s="14">
        <f>IFERROR(Table27[[#This Row],[Actual Hours]]*Table27[[#This Row],[Rate]],"")</f>
        <v>4704</v>
      </c>
      <c r="L16" s="7">
        <v>8</v>
      </c>
      <c r="M16" s="7">
        <v>8</v>
      </c>
      <c r="N16" s="7">
        <v>8</v>
      </c>
      <c r="O16" s="7" t="s">
        <v>59</v>
      </c>
      <c r="P16" s="25" t="s">
        <v>59</v>
      </c>
      <c r="Q16" s="7">
        <v>8</v>
      </c>
      <c r="R16" s="7">
        <v>8</v>
      </c>
      <c r="S16" s="7" t="s">
        <v>67</v>
      </c>
      <c r="T16" s="7">
        <v>8</v>
      </c>
      <c r="U16" s="7">
        <v>8</v>
      </c>
      <c r="V16" s="7" t="s">
        <v>59</v>
      </c>
      <c r="W16" s="7" t="s">
        <v>59</v>
      </c>
      <c r="X16" s="7">
        <v>8</v>
      </c>
      <c r="Y16" s="26">
        <v>8</v>
      </c>
      <c r="Z16" s="26">
        <v>8</v>
      </c>
      <c r="AA16" s="7">
        <v>8</v>
      </c>
      <c r="AB16" s="7">
        <v>8</v>
      </c>
      <c r="AC16" s="7" t="s">
        <v>59</v>
      </c>
      <c r="AD16" s="7" t="s">
        <v>59</v>
      </c>
      <c r="AE16" s="7">
        <v>8</v>
      </c>
      <c r="AF16" s="26">
        <v>8</v>
      </c>
      <c r="AG16" s="26">
        <v>8</v>
      </c>
      <c r="AH16" s="7">
        <v>8</v>
      </c>
      <c r="AI16" s="7">
        <v>8</v>
      </c>
      <c r="AJ16" s="7" t="s">
        <v>59</v>
      </c>
      <c r="AK16" s="7" t="s">
        <v>59</v>
      </c>
      <c r="AL16" s="7" t="s">
        <v>86</v>
      </c>
      <c r="AM16" s="26">
        <v>8</v>
      </c>
      <c r="AN16" s="26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0.95454545454545459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 t="s">
        <v>59</v>
      </c>
      <c r="P17" s="25" t="s">
        <v>59</v>
      </c>
      <c r="Q17" s="7">
        <v>8</v>
      </c>
      <c r="R17" s="7">
        <v>8</v>
      </c>
      <c r="S17" s="7">
        <v>8</v>
      </c>
      <c r="T17" s="7">
        <v>8</v>
      </c>
      <c r="U17" s="7">
        <v>8</v>
      </c>
      <c r="V17" s="7" t="s">
        <v>59</v>
      </c>
      <c r="W17" s="7" t="s">
        <v>59</v>
      </c>
      <c r="X17" s="7">
        <v>8</v>
      </c>
      <c r="Y17" s="26">
        <v>8</v>
      </c>
      <c r="Z17" s="26">
        <v>8</v>
      </c>
      <c r="AA17" s="7">
        <v>8</v>
      </c>
      <c r="AB17" s="7">
        <v>8</v>
      </c>
      <c r="AC17" s="7" t="s">
        <v>59</v>
      </c>
      <c r="AD17" s="7" t="s">
        <v>59</v>
      </c>
      <c r="AE17" s="7">
        <v>8</v>
      </c>
      <c r="AF17" s="26">
        <v>8</v>
      </c>
      <c r="AG17" s="26">
        <v>8</v>
      </c>
      <c r="AH17" s="7">
        <v>8</v>
      </c>
      <c r="AI17" s="7">
        <v>8</v>
      </c>
      <c r="AJ17" s="7" t="s">
        <v>59</v>
      </c>
      <c r="AK17" s="7" t="s">
        <v>59</v>
      </c>
      <c r="AL17" s="7" t="s">
        <v>86</v>
      </c>
      <c r="AM17" s="26">
        <v>8</v>
      </c>
      <c r="AN17" s="26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>
        <v>8</v>
      </c>
      <c r="M18" s="7">
        <v>8</v>
      </c>
      <c r="N18" s="7">
        <v>8</v>
      </c>
      <c r="O18" s="7" t="s">
        <v>59</v>
      </c>
      <c r="P18" s="25" t="s">
        <v>59</v>
      </c>
      <c r="Q18" s="7">
        <v>8</v>
      </c>
      <c r="R18" s="7">
        <v>8</v>
      </c>
      <c r="S18" s="7">
        <v>8</v>
      </c>
      <c r="T18" s="7">
        <v>8</v>
      </c>
      <c r="U18" s="7">
        <v>8</v>
      </c>
      <c r="V18" s="7" t="s">
        <v>59</v>
      </c>
      <c r="W18" s="7" t="s">
        <v>59</v>
      </c>
      <c r="X18" s="7">
        <v>8</v>
      </c>
      <c r="Y18" s="26">
        <v>8</v>
      </c>
      <c r="Z18" s="26">
        <v>8</v>
      </c>
      <c r="AA18" s="7">
        <v>8</v>
      </c>
      <c r="AB18" s="7">
        <v>8</v>
      </c>
      <c r="AC18" s="7" t="s">
        <v>59</v>
      </c>
      <c r="AD18" s="7" t="s">
        <v>59</v>
      </c>
      <c r="AE18" s="7">
        <v>8</v>
      </c>
      <c r="AF18" s="26">
        <v>8</v>
      </c>
      <c r="AG18" s="26">
        <v>8</v>
      </c>
      <c r="AH18" s="7">
        <v>8</v>
      </c>
      <c r="AI18" s="7" t="s">
        <v>67</v>
      </c>
      <c r="AJ18" s="7" t="s">
        <v>59</v>
      </c>
      <c r="AK18" s="7" t="s">
        <v>59</v>
      </c>
      <c r="AL18" s="7" t="s">
        <v>86</v>
      </c>
      <c r="AM18" s="26">
        <v>8</v>
      </c>
      <c r="AN18" s="26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0.95454545454545459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160</v>
      </c>
      <c r="J19" s="3">
        <v>30</v>
      </c>
      <c r="K19" s="14">
        <f>IFERROR(Table27[[#This Row],[Actual Hours]]*Table27[[#This Row],[Rate]],"")</f>
        <v>4800</v>
      </c>
      <c r="L19" s="7">
        <v>8</v>
      </c>
      <c r="M19" s="7">
        <v>8</v>
      </c>
      <c r="N19" s="7">
        <v>8</v>
      </c>
      <c r="O19" s="7" t="s">
        <v>59</v>
      </c>
      <c r="P19" s="25" t="s">
        <v>59</v>
      </c>
      <c r="Q19" s="7">
        <v>8</v>
      </c>
      <c r="R19" s="7" t="s">
        <v>67</v>
      </c>
      <c r="S19" s="7">
        <v>8</v>
      </c>
      <c r="T19" s="7">
        <v>8</v>
      </c>
      <c r="U19" s="7">
        <v>8</v>
      </c>
      <c r="V19" s="7" t="s">
        <v>59</v>
      </c>
      <c r="W19" s="7" t="s">
        <v>59</v>
      </c>
      <c r="X19" s="7">
        <v>8</v>
      </c>
      <c r="Y19" s="26">
        <v>8</v>
      </c>
      <c r="Z19" s="26">
        <v>8</v>
      </c>
      <c r="AA19" s="7">
        <v>8</v>
      </c>
      <c r="AB19" s="7">
        <v>8</v>
      </c>
      <c r="AC19" s="7" t="s">
        <v>59</v>
      </c>
      <c r="AD19" s="7" t="s">
        <v>59</v>
      </c>
      <c r="AE19" s="7">
        <v>8</v>
      </c>
      <c r="AF19" s="26">
        <v>8</v>
      </c>
      <c r="AG19" s="26">
        <v>8</v>
      </c>
      <c r="AH19" s="7" t="s">
        <v>67</v>
      </c>
      <c r="AI19" s="7">
        <v>8</v>
      </c>
      <c r="AJ19" s="7" t="s">
        <v>59</v>
      </c>
      <c r="AK19" s="7" t="s">
        <v>59</v>
      </c>
      <c r="AL19" s="7" t="s">
        <v>86</v>
      </c>
      <c r="AM19" s="26">
        <v>8</v>
      </c>
      <c r="AN19" s="26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0.90909090909090906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 t="s">
        <v>59</v>
      </c>
      <c r="P20" s="25" t="s">
        <v>59</v>
      </c>
      <c r="Q20" s="7">
        <v>8</v>
      </c>
      <c r="R20" s="7">
        <v>8</v>
      </c>
      <c r="S20" s="7">
        <v>8</v>
      </c>
      <c r="T20" s="7">
        <v>8</v>
      </c>
      <c r="U20" s="7">
        <v>8</v>
      </c>
      <c r="V20" s="7" t="s">
        <v>59</v>
      </c>
      <c r="W20" s="7" t="s">
        <v>59</v>
      </c>
      <c r="X20" s="7">
        <v>8</v>
      </c>
      <c r="Y20" s="26">
        <v>8</v>
      </c>
      <c r="Z20" s="26">
        <v>8</v>
      </c>
      <c r="AA20" s="7">
        <v>8</v>
      </c>
      <c r="AB20" s="7">
        <v>8</v>
      </c>
      <c r="AC20" s="7" t="s">
        <v>59</v>
      </c>
      <c r="AD20" s="7" t="s">
        <v>59</v>
      </c>
      <c r="AE20" s="7">
        <v>8</v>
      </c>
      <c r="AF20" s="26">
        <v>8</v>
      </c>
      <c r="AG20" s="26">
        <v>8</v>
      </c>
      <c r="AH20" s="7">
        <v>8</v>
      </c>
      <c r="AI20" s="7">
        <v>8</v>
      </c>
      <c r="AJ20" s="7" t="s">
        <v>59</v>
      </c>
      <c r="AK20" s="7" t="s">
        <v>59</v>
      </c>
      <c r="AL20" s="7" t="s">
        <v>86</v>
      </c>
      <c r="AM20" s="26">
        <v>8</v>
      </c>
      <c r="AN20" s="26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1776</v>
      </c>
      <c r="I21" s="2">
        <f>SUBTOTAL(109,Table27[Actual Hours])</f>
        <v>1696</v>
      </c>
      <c r="J21" s="2"/>
      <c r="K21" s="16">
        <f>SUBTOTAL(109,Table27[Final Billing Amount])</f>
        <v>51232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8</v>
      </c>
      <c r="P21" s="10">
        <f>SUBTOTAL(109,Table27[5])</f>
        <v>8</v>
      </c>
      <c r="Q21" s="10">
        <f>SUBTOTAL(109,Table27[6])</f>
        <v>104</v>
      </c>
      <c r="R21" s="10">
        <f>SUBTOTAL(109,Table27[7])</f>
        <v>104</v>
      </c>
      <c r="S21" s="10">
        <f>SUBTOTAL(109,Table27[8])</f>
        <v>112</v>
      </c>
      <c r="T21" s="10">
        <f>SUBTOTAL(109,Table27[9])</f>
        <v>112</v>
      </c>
      <c r="U21" s="10">
        <f>SUBTOTAL(109,Table27[10])</f>
        <v>120</v>
      </c>
      <c r="V21" s="10">
        <f>SUBTOTAL(109,Table27[11])</f>
        <v>8</v>
      </c>
      <c r="W21" s="10">
        <f>SUBTOTAL(109,Table27[12])</f>
        <v>8</v>
      </c>
      <c r="X21" s="10">
        <f>SUBTOTAL(109,Table27[13])</f>
        <v>104</v>
      </c>
      <c r="Y21" s="10">
        <f>SUBTOTAL(109,Table27[14])</f>
        <v>104</v>
      </c>
      <c r="Z21" s="10">
        <f>SUBTOTAL(109,Table27[15])</f>
        <v>112</v>
      </c>
      <c r="AA21" s="10">
        <f>SUBTOTAL(109,Table27[16])</f>
        <v>112</v>
      </c>
      <c r="AB21" s="10">
        <f>SUBTOTAL(109,Table27[17])</f>
        <v>104</v>
      </c>
      <c r="AC21" s="10" t="s">
        <v>133</v>
      </c>
      <c r="AD21" s="10" t="s">
        <v>133</v>
      </c>
      <c r="AE21" s="10">
        <f>SUBTOTAL(109,Table27[20])</f>
        <v>120</v>
      </c>
      <c r="AF21" s="10">
        <f>SUBTOTAL(109,Table27[21])</f>
        <v>112</v>
      </c>
      <c r="AG21" s="10">
        <f>SUBTOTAL(109,Table27[22])</f>
        <v>120</v>
      </c>
      <c r="AH21" s="10">
        <f>SUBTOTAL(109,Table27[23])</f>
        <v>112</v>
      </c>
      <c r="AI21" s="10">
        <f>SUBTOTAL(109,Table27[24])</f>
        <v>104</v>
      </c>
      <c r="AJ21" s="10">
        <f>SUBTOTAL(109,Table27[25])</f>
        <v>0</v>
      </c>
      <c r="AK21" s="10">
        <f>SUBTOTAL(109,Table27[26])</f>
        <v>0</v>
      </c>
      <c r="AL21" s="10">
        <f>SUBTOTAL(109,Table27[27])</f>
        <v>0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0.95495495495495497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1696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0.95495495495495497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2026-04-20T15:17:12Z</dcterms:modified>
</cp:coreProperties>
</file>